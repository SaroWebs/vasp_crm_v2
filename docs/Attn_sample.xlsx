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 firstSheet="1" activeTab="10"/>
  </bookViews>
  <sheets>
    <sheet name="Bhanu" sheetId="1" r:id="rId1"/>
    <sheet name="Pinku" sheetId="2" r:id="rId2"/>
    <sheet name="Pranadeep" sheetId="4" r:id="rId3"/>
    <sheet name="Neha" sheetId="3" r:id="rId4"/>
    <sheet name="Badal" sheetId="5" r:id="rId5"/>
    <sheet name="Harshit" sheetId="6" r:id="rId6"/>
    <sheet name="Debojit" sheetId="7" r:id="rId7"/>
    <sheet name="Anurag" sheetId="8" r:id="rId8"/>
    <sheet name="Tolan" sheetId="9" r:id="rId9"/>
    <sheet name="Sarowar" sheetId="11" r:id="rId10"/>
    <sheet name="May" sheetId="12" r:id="rId1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3" i="11"/>
  <c r="N32"/>
  <c r="M32"/>
  <c r="N29"/>
  <c r="O29" s="1"/>
  <c r="N31"/>
  <c r="M31"/>
  <c r="O31" s="1"/>
  <c r="N30"/>
  <c r="M30"/>
  <c r="O30" s="1"/>
  <c r="M29"/>
  <c r="N27"/>
  <c r="M27"/>
  <c r="O27" s="1"/>
  <c r="O26"/>
  <c r="N26"/>
  <c r="M26"/>
  <c r="O24"/>
  <c r="N24"/>
  <c r="M24"/>
  <c r="N23"/>
  <c r="M23"/>
  <c r="O23" s="1"/>
  <c r="O19"/>
  <c r="N19"/>
  <c r="M19"/>
  <c r="O18"/>
  <c r="N18"/>
  <c r="M18"/>
  <c r="N17"/>
  <c r="M17"/>
  <c r="O17" s="1"/>
  <c r="N16"/>
  <c r="M16"/>
  <c r="O16" s="1"/>
  <c r="N13"/>
  <c r="M13"/>
  <c r="O13" s="1"/>
  <c r="N12"/>
  <c r="M12"/>
  <c r="O12" s="1"/>
  <c r="O11"/>
  <c r="N11"/>
  <c r="M11"/>
  <c r="O9"/>
  <c r="N9"/>
  <c r="M9"/>
  <c r="O8"/>
  <c r="N8"/>
  <c r="M8"/>
  <c r="O3"/>
  <c r="N3"/>
  <c r="M3"/>
  <c r="M33" i="9"/>
  <c r="M33" i="8"/>
  <c r="N32" i="9"/>
  <c r="M32"/>
  <c r="O31"/>
  <c r="O30"/>
  <c r="M30"/>
  <c r="O20"/>
  <c r="M20"/>
  <c r="N19"/>
  <c r="O19" s="1"/>
  <c r="O17"/>
  <c r="O16"/>
  <c r="O18"/>
  <c r="O29"/>
  <c r="N16"/>
  <c r="N17"/>
  <c r="N18"/>
  <c r="N20"/>
  <c r="N29"/>
  <c r="N30"/>
  <c r="N31"/>
  <c r="M16"/>
  <c r="M17"/>
  <c r="M18"/>
  <c r="M19"/>
  <c r="M29"/>
  <c r="M31"/>
  <c r="O15"/>
  <c r="N15"/>
  <c r="M15"/>
  <c r="N32" i="8"/>
  <c r="M32"/>
  <c r="O9"/>
  <c r="N9"/>
  <c r="M31"/>
  <c r="O31" s="1"/>
  <c r="M30"/>
  <c r="M29"/>
  <c r="M27"/>
  <c r="O27" s="1"/>
  <c r="M26"/>
  <c r="M25"/>
  <c r="M24"/>
  <c r="M23"/>
  <c r="O23" s="1"/>
  <c r="M22"/>
  <c r="M11"/>
  <c r="M8"/>
  <c r="O8" s="1"/>
  <c r="M5"/>
  <c r="O5" s="1"/>
  <c r="M4"/>
  <c r="O4" s="1"/>
  <c r="O3"/>
  <c r="O6"/>
  <c r="O10"/>
  <c r="O11"/>
  <c r="O22"/>
  <c r="O24"/>
  <c r="O25"/>
  <c r="O26"/>
  <c r="O29"/>
  <c r="O30"/>
  <c r="N3"/>
  <c r="N4"/>
  <c r="N5"/>
  <c r="N6"/>
  <c r="N8"/>
  <c r="N10"/>
  <c r="N11"/>
  <c r="N22"/>
  <c r="N23"/>
  <c r="N24"/>
  <c r="N25"/>
  <c r="N26"/>
  <c r="N27"/>
  <c r="N29"/>
  <c r="N30"/>
  <c r="N31"/>
  <c r="M3"/>
  <c r="M6"/>
  <c r="M9"/>
  <c r="M10"/>
  <c r="O2"/>
  <c r="N2"/>
  <c r="M2"/>
  <c r="M33" i="7"/>
  <c r="N32"/>
  <c r="M23"/>
  <c r="M32" s="1"/>
  <c r="M18"/>
  <c r="O18" s="1"/>
  <c r="O29"/>
  <c r="O26"/>
  <c r="O22"/>
  <c r="O20"/>
  <c r="O17"/>
  <c r="O16"/>
  <c r="O15"/>
  <c r="O12"/>
  <c r="O13"/>
  <c r="O19"/>
  <c r="O25"/>
  <c r="O27"/>
  <c r="O31"/>
  <c r="N12"/>
  <c r="N13"/>
  <c r="N15"/>
  <c r="N16"/>
  <c r="N17"/>
  <c r="N18"/>
  <c r="N19"/>
  <c r="N20"/>
  <c r="N22"/>
  <c r="N23"/>
  <c r="N25"/>
  <c r="N26"/>
  <c r="N27"/>
  <c r="N29"/>
  <c r="N31"/>
  <c r="M12"/>
  <c r="M13"/>
  <c r="M15"/>
  <c r="M16"/>
  <c r="M17"/>
  <c r="M19"/>
  <c r="M20"/>
  <c r="M22"/>
  <c r="M25"/>
  <c r="M26"/>
  <c r="M27"/>
  <c r="M29"/>
  <c r="M31"/>
  <c r="O11"/>
  <c r="N11"/>
  <c r="M11"/>
  <c r="M32" i="5"/>
  <c r="M33" s="1"/>
  <c r="N32" i="6"/>
  <c r="M32"/>
  <c r="O30"/>
  <c r="N30"/>
  <c r="O27"/>
  <c r="N27"/>
  <c r="M31"/>
  <c r="O31" s="1"/>
  <c r="M27"/>
  <c r="M23"/>
  <c r="O20"/>
  <c r="M20"/>
  <c r="O19"/>
  <c r="N19"/>
  <c r="O10"/>
  <c r="M10"/>
  <c r="O5"/>
  <c r="N5"/>
  <c r="O29"/>
  <c r="O26"/>
  <c r="O24"/>
  <c r="O22"/>
  <c r="O17"/>
  <c r="O13"/>
  <c r="O9"/>
  <c r="O4"/>
  <c r="O6"/>
  <c r="O8"/>
  <c r="O11"/>
  <c r="O12"/>
  <c r="O15"/>
  <c r="O18"/>
  <c r="O23"/>
  <c r="N4"/>
  <c r="N6"/>
  <c r="N8"/>
  <c r="N9"/>
  <c r="N10"/>
  <c r="N11"/>
  <c r="N12"/>
  <c r="N13"/>
  <c r="N15"/>
  <c r="N17"/>
  <c r="N18"/>
  <c r="N20"/>
  <c r="N22"/>
  <c r="N23"/>
  <c r="N24"/>
  <c r="N26"/>
  <c r="N29"/>
  <c r="N31"/>
  <c r="M4"/>
  <c r="M5"/>
  <c r="M6"/>
  <c r="M8"/>
  <c r="M9"/>
  <c r="M11"/>
  <c r="M12"/>
  <c r="M13"/>
  <c r="M15"/>
  <c r="M17"/>
  <c r="M18"/>
  <c r="M19"/>
  <c r="M22"/>
  <c r="M24"/>
  <c r="M26"/>
  <c r="M29"/>
  <c r="M30"/>
  <c r="M2"/>
  <c r="N2"/>
  <c r="N32" i="5"/>
  <c r="O30"/>
  <c r="O29"/>
  <c r="O28"/>
  <c r="O22"/>
  <c r="O20"/>
  <c r="O19"/>
  <c r="O15"/>
  <c r="O4"/>
  <c r="M29"/>
  <c r="M16"/>
  <c r="O16" s="1"/>
  <c r="M9"/>
  <c r="M5"/>
  <c r="O5" s="1"/>
  <c r="O3"/>
  <c r="O6"/>
  <c r="O8"/>
  <c r="O9"/>
  <c r="O10"/>
  <c r="O12"/>
  <c r="O17"/>
  <c r="O18"/>
  <c r="O23"/>
  <c r="O24"/>
  <c r="O25"/>
  <c r="O26"/>
  <c r="O27"/>
  <c r="N3"/>
  <c r="N4"/>
  <c r="N5"/>
  <c r="N6"/>
  <c r="N8"/>
  <c r="N9"/>
  <c r="N10"/>
  <c r="N12"/>
  <c r="N15"/>
  <c r="N16"/>
  <c r="N17"/>
  <c r="N18"/>
  <c r="N19"/>
  <c r="N20"/>
  <c r="N22"/>
  <c r="N23"/>
  <c r="N24"/>
  <c r="N25"/>
  <c r="N26"/>
  <c r="N27"/>
  <c r="N28"/>
  <c r="N29"/>
  <c r="N30"/>
  <c r="O2"/>
  <c r="N2"/>
  <c r="M3"/>
  <c r="M4"/>
  <c r="M6"/>
  <c r="M8"/>
  <c r="M10"/>
  <c r="M12"/>
  <c r="M15"/>
  <c r="M17"/>
  <c r="M18"/>
  <c r="M19"/>
  <c r="M20"/>
  <c r="M22"/>
  <c r="M23"/>
  <c r="M24"/>
  <c r="M25"/>
  <c r="M26"/>
  <c r="M27"/>
  <c r="M28"/>
  <c r="M30"/>
  <c r="M2"/>
  <c r="M34" i="3"/>
  <c r="N33"/>
  <c r="O6"/>
  <c r="O3"/>
  <c r="O4"/>
  <c r="O8"/>
  <c r="O10"/>
  <c r="O11"/>
  <c r="O12"/>
  <c r="O13"/>
  <c r="O15"/>
  <c r="O16"/>
  <c r="O18"/>
  <c r="O19"/>
  <c r="O20"/>
  <c r="O23"/>
  <c r="O24"/>
  <c r="O25"/>
  <c r="O26"/>
  <c r="O27"/>
  <c r="O30"/>
  <c r="O31"/>
  <c r="O2"/>
  <c r="N31"/>
  <c r="N30"/>
  <c r="N27"/>
  <c r="N26"/>
  <c r="N25"/>
  <c r="N24"/>
  <c r="N23"/>
  <c r="N20"/>
  <c r="N19"/>
  <c r="N18"/>
  <c r="N16"/>
  <c r="N15"/>
  <c r="N13"/>
  <c r="N12"/>
  <c r="N11"/>
  <c r="N10"/>
  <c r="N8"/>
  <c r="N6"/>
  <c r="N3"/>
  <c r="N4"/>
  <c r="N2"/>
  <c r="M33" i="4"/>
  <c r="N32"/>
  <c r="M32"/>
  <c r="O12"/>
  <c r="M12"/>
  <c r="O9"/>
  <c r="M9"/>
  <c r="O30"/>
  <c r="O26"/>
  <c r="O24"/>
  <c r="M26"/>
  <c r="M25"/>
  <c r="O25" s="1"/>
  <c r="O15"/>
  <c r="O13"/>
  <c r="O10"/>
  <c r="O5"/>
  <c r="O6"/>
  <c r="O4"/>
  <c r="M6"/>
  <c r="N9"/>
  <c r="N4"/>
  <c r="M4"/>
  <c r="M29"/>
  <c r="M15"/>
  <c r="M10"/>
  <c r="O3"/>
  <c r="O11"/>
  <c r="O16"/>
  <c r="O23"/>
  <c r="O31"/>
  <c r="N3"/>
  <c r="N5"/>
  <c r="N6"/>
  <c r="N10"/>
  <c r="N11"/>
  <c r="N12"/>
  <c r="N13"/>
  <c r="N15"/>
  <c r="N16"/>
  <c r="N23"/>
  <c r="N24"/>
  <c r="N25"/>
  <c r="N26"/>
  <c r="N29"/>
  <c r="N30"/>
  <c r="N31"/>
  <c r="M3"/>
  <c r="M5"/>
  <c r="M11"/>
  <c r="M13"/>
  <c r="M16"/>
  <c r="M23"/>
  <c r="M24"/>
  <c r="M30"/>
  <c r="M31"/>
  <c r="O2"/>
  <c r="N2"/>
  <c r="M2"/>
  <c r="E43" i="11"/>
  <c r="D43"/>
  <c r="E42"/>
  <c r="D42"/>
  <c r="H40"/>
  <c r="G40"/>
  <c r="F40"/>
  <c r="E40"/>
  <c r="D40"/>
  <c r="H39"/>
  <c r="G39"/>
  <c r="F39"/>
  <c r="E39"/>
  <c r="D39"/>
  <c r="E43" i="9"/>
  <c r="D43"/>
  <c r="E42"/>
  <c r="D42"/>
  <c r="H40"/>
  <c r="G40"/>
  <c r="F40"/>
  <c r="E40"/>
  <c r="D40"/>
  <c r="H39"/>
  <c r="G39"/>
  <c r="F39"/>
  <c r="E39"/>
  <c r="D39"/>
  <c r="E43" i="8"/>
  <c r="D43"/>
  <c r="F43" s="1"/>
  <c r="F42"/>
  <c r="E42"/>
  <c r="D42"/>
  <c r="H40"/>
  <c r="G40"/>
  <c r="F40"/>
  <c r="E40"/>
  <c r="D40"/>
  <c r="H39"/>
  <c r="G39"/>
  <c r="F39"/>
  <c r="E39"/>
  <c r="D39"/>
  <c r="E43" i="7"/>
  <c r="D43"/>
  <c r="E42"/>
  <c r="D42"/>
  <c r="F42" s="1"/>
  <c r="H40"/>
  <c r="G40"/>
  <c r="F40"/>
  <c r="E40"/>
  <c r="D40"/>
  <c r="H39"/>
  <c r="G39"/>
  <c r="F39"/>
  <c r="E39"/>
  <c r="D39"/>
  <c r="E43" i="6"/>
  <c r="F43" s="1"/>
  <c r="D43"/>
  <c r="E42"/>
  <c r="D42"/>
  <c r="F42" s="1"/>
  <c r="H40"/>
  <c r="G40"/>
  <c r="F40"/>
  <c r="E40"/>
  <c r="D40"/>
  <c r="H39"/>
  <c r="G39"/>
  <c r="F39"/>
  <c r="E39"/>
  <c r="D39"/>
  <c r="E43" i="5"/>
  <c r="D43"/>
  <c r="E42"/>
  <c r="D42"/>
  <c r="H40"/>
  <c r="G40"/>
  <c r="F40"/>
  <c r="E40"/>
  <c r="D40"/>
  <c r="H39"/>
  <c r="G39"/>
  <c r="F39"/>
  <c r="E39"/>
  <c r="D39"/>
  <c r="E43" i="3"/>
  <c r="F43" s="1"/>
  <c r="D43"/>
  <c r="E42"/>
  <c r="D42"/>
  <c r="H40"/>
  <c r="G40"/>
  <c r="F40"/>
  <c r="E40"/>
  <c r="D40"/>
  <c r="H39"/>
  <c r="G39"/>
  <c r="F39"/>
  <c r="E39"/>
  <c r="D39"/>
  <c r="E43" i="4"/>
  <c r="F43" s="1"/>
  <c r="D43"/>
  <c r="E42"/>
  <c r="D42"/>
  <c r="H40"/>
  <c r="G40"/>
  <c r="F40"/>
  <c r="E40"/>
  <c r="D40"/>
  <c r="H39"/>
  <c r="G39"/>
  <c r="F39"/>
  <c r="E39"/>
  <c r="D39"/>
  <c r="F43" i="1"/>
  <c r="F42"/>
  <c r="E43"/>
  <c r="E42"/>
  <c r="D43"/>
  <c r="D42"/>
  <c r="H40"/>
  <c r="G40"/>
  <c r="F40"/>
  <c r="E40"/>
  <c r="D40"/>
  <c r="G39"/>
  <c r="F39"/>
  <c r="E39"/>
  <c r="H39"/>
  <c r="D39"/>
  <c r="M5"/>
  <c r="N9"/>
  <c r="N19"/>
  <c r="N22"/>
  <c r="N3"/>
  <c r="N4"/>
  <c r="N5"/>
  <c r="N6"/>
  <c r="N8"/>
  <c r="O8" s="1"/>
  <c r="N18"/>
  <c r="N20"/>
  <c r="O20" s="1"/>
  <c r="N23"/>
  <c r="N24"/>
  <c r="N25"/>
  <c r="N26"/>
  <c r="N27"/>
  <c r="N29"/>
  <c r="N30"/>
  <c r="N31"/>
  <c r="M3"/>
  <c r="M4"/>
  <c r="M6"/>
  <c r="O6" s="1"/>
  <c r="M8"/>
  <c r="M9"/>
  <c r="O9" s="1"/>
  <c r="M18"/>
  <c r="M19"/>
  <c r="M20"/>
  <c r="M22"/>
  <c r="O22" s="1"/>
  <c r="M23"/>
  <c r="M24"/>
  <c r="M25"/>
  <c r="M26"/>
  <c r="O26" s="1"/>
  <c r="M27"/>
  <c r="M29"/>
  <c r="M30"/>
  <c r="M31"/>
  <c r="O31" s="1"/>
  <c r="N2"/>
  <c r="N32" s="1"/>
  <c r="M2"/>
  <c r="M33" i="3"/>
  <c r="M3"/>
  <c r="M4"/>
  <c r="M6"/>
  <c r="M8"/>
  <c r="M10"/>
  <c r="M11"/>
  <c r="M12"/>
  <c r="M13"/>
  <c r="M15"/>
  <c r="M16"/>
  <c r="M18"/>
  <c r="M19"/>
  <c r="M20"/>
  <c r="M23"/>
  <c r="M24"/>
  <c r="M25"/>
  <c r="M26"/>
  <c r="M27"/>
  <c r="M30"/>
  <c r="M31"/>
  <c r="M2"/>
  <c r="F43" i="11" l="1"/>
  <c r="F42"/>
  <c r="F43" i="9"/>
  <c r="F42"/>
  <c r="O23" i="7"/>
  <c r="F43"/>
  <c r="M33" i="6"/>
  <c r="O2"/>
  <c r="F42" i="5"/>
  <c r="F43"/>
  <c r="F42" i="3"/>
  <c r="F42" i="4"/>
  <c r="O29"/>
  <c r="O3" i="1"/>
  <c r="O27"/>
  <c r="O23"/>
  <c r="O2"/>
  <c r="O29"/>
  <c r="O24"/>
  <c r="O19"/>
  <c r="O30"/>
  <c r="O25"/>
  <c r="O18"/>
  <c r="O4"/>
  <c r="M33"/>
  <c r="O5"/>
  <c r="M32"/>
</calcChain>
</file>

<file path=xl/sharedStrings.xml><?xml version="1.0" encoding="utf-8"?>
<sst xmlns="http://schemas.openxmlformats.org/spreadsheetml/2006/main" count="1336" uniqueCount="90">
  <si>
    <t>SL</t>
  </si>
  <si>
    <t>Name</t>
  </si>
  <si>
    <t>Date</t>
  </si>
  <si>
    <t>Day</t>
  </si>
  <si>
    <t>EntryDate</t>
  </si>
  <si>
    <t>Intime</t>
  </si>
  <si>
    <t>Entry</t>
  </si>
  <si>
    <t>Exittime</t>
  </si>
  <si>
    <t>Out</t>
  </si>
  <si>
    <t>DailyWorkingHours</t>
  </si>
  <si>
    <t>ActualWorkHours</t>
  </si>
  <si>
    <t>WeekNo</t>
  </si>
  <si>
    <t>Bhanu</t>
  </si>
  <si>
    <t>Tuesday</t>
  </si>
  <si>
    <t>NULL</t>
  </si>
  <si>
    <t>Wednesday</t>
  </si>
  <si>
    <t>Thursday</t>
  </si>
  <si>
    <t>Friday</t>
  </si>
  <si>
    <t>Saturday</t>
  </si>
  <si>
    <t>Sunday</t>
  </si>
  <si>
    <t>Monday</t>
  </si>
  <si>
    <t>Pinku</t>
  </si>
  <si>
    <t>PRANADEEP</t>
  </si>
  <si>
    <t>NEHA</t>
  </si>
  <si>
    <t>Badal</t>
  </si>
  <si>
    <t>HARSHIT</t>
  </si>
  <si>
    <t>Debojit</t>
  </si>
  <si>
    <t>Anurag</t>
  </si>
  <si>
    <t>Tolan</t>
  </si>
  <si>
    <t>Delay in entry</t>
  </si>
  <si>
    <t>Delay In Exit</t>
  </si>
  <si>
    <t>Actual work hours</t>
  </si>
  <si>
    <t>Total</t>
  </si>
  <si>
    <t>Total Overtime</t>
  </si>
  <si>
    <t xml:space="preserve">Number of total working hours </t>
  </si>
  <si>
    <t>Week</t>
  </si>
  <si>
    <t>Weekly hour</t>
  </si>
  <si>
    <t>Weekly actual hour</t>
  </si>
  <si>
    <t>March</t>
  </si>
  <si>
    <t>April</t>
  </si>
  <si>
    <t>Monthly hour</t>
  </si>
  <si>
    <t>Actual monthly hour</t>
  </si>
  <si>
    <t xml:space="preserve">Number of working days </t>
  </si>
  <si>
    <t xml:space="preserve">Present </t>
  </si>
  <si>
    <t>Leave</t>
  </si>
  <si>
    <t>Total Working hours</t>
  </si>
  <si>
    <t>Half day</t>
  </si>
  <si>
    <t>WFH</t>
  </si>
  <si>
    <t>Holiday</t>
  </si>
  <si>
    <t>Sick/Casual Leave</t>
  </si>
  <si>
    <t>Office Work</t>
  </si>
  <si>
    <t>SAROWAR</t>
  </si>
  <si>
    <t>Total Late coming</t>
  </si>
  <si>
    <t>157.29 hrs</t>
  </si>
  <si>
    <t>161.13 hrs</t>
  </si>
  <si>
    <t>156.3 hrs</t>
  </si>
  <si>
    <t>Sick/casual leave</t>
  </si>
  <si>
    <t>Half Day</t>
  </si>
  <si>
    <t>14:00:30 PM</t>
  </si>
  <si>
    <t>Sick leave/casual</t>
  </si>
  <si>
    <t>leave bal</t>
  </si>
  <si>
    <t>Note:</t>
  </si>
  <si>
    <t>Remaining leave balance after deduction of current month 2+ 3 Bihu Comp off= 5</t>
  </si>
  <si>
    <t>206.07 hrs</t>
  </si>
  <si>
    <t>Total Working Hours</t>
  </si>
  <si>
    <t>Office work</t>
  </si>
  <si>
    <t>Total Late</t>
  </si>
  <si>
    <t>Total late coming</t>
  </si>
  <si>
    <t>Total Working days</t>
  </si>
  <si>
    <t>Present</t>
  </si>
  <si>
    <t>Absent</t>
  </si>
  <si>
    <t>Reimbursements (TA+Miscellaneous)</t>
  </si>
  <si>
    <t>NA</t>
  </si>
  <si>
    <t>Harshit</t>
  </si>
  <si>
    <t>Sarowar</t>
  </si>
  <si>
    <t>11hr/16mins</t>
  </si>
  <si>
    <t>Note: 3 day leave of last month balance is pending</t>
  </si>
  <si>
    <t>31mins</t>
  </si>
  <si>
    <t xml:space="preserve">7hrs/48mins </t>
  </si>
  <si>
    <t>Maid(700)=700</t>
  </si>
  <si>
    <t>16hr/33mins</t>
  </si>
  <si>
    <t>50mins</t>
  </si>
  <si>
    <t>3hrs/17mins</t>
  </si>
  <si>
    <t>3hrs/4mins</t>
  </si>
  <si>
    <t>11mins</t>
  </si>
  <si>
    <t>19hrs/40mins</t>
  </si>
  <si>
    <t>TA(HPSG {2 visits}+Meghalaya House+Ghy railway staion)+ Food(Breakfast+Lunch)= (977+365) 1342</t>
  </si>
  <si>
    <t>TA(Gayatri Road carrier {3 visits}, 7 School Visits)=813</t>
  </si>
  <si>
    <t>Note: Detailed travelling Allowances of Prandadeep and Harshit have been shared in separate Excel sheet</t>
  </si>
  <si>
    <t xml:space="preserve">3 days leave amount of last month balance is pending </t>
  </si>
</sst>
</file>

<file path=xl/styles.xml><?xml version="1.0" encoding="utf-8"?>
<styleSheet xmlns="http://schemas.openxmlformats.org/spreadsheetml/2006/main">
  <numFmts count="1">
    <numFmt numFmtId="164" formatCode="[$-14009]hh:mm:ss;@"/>
  </numFmts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  <xf numFmtId="14" fontId="1" fillId="0" borderId="0" xfId="0" applyNumberFormat="1" applyFont="1" applyFill="1"/>
    <xf numFmtId="164" fontId="1" fillId="0" borderId="0" xfId="0" applyNumberFormat="1" applyFont="1" applyFill="1"/>
    <xf numFmtId="0" fontId="5" fillId="0" borderId="0" xfId="0" applyFont="1" applyFill="1"/>
    <xf numFmtId="14" fontId="5" fillId="0" borderId="0" xfId="0" applyNumberFormat="1" applyFont="1" applyFill="1"/>
    <xf numFmtId="164" fontId="5" fillId="0" borderId="0" xfId="0" applyNumberFormat="1" applyFont="1" applyFill="1"/>
    <xf numFmtId="164" fontId="6" fillId="0" borderId="0" xfId="0" applyNumberFormat="1" applyFont="1"/>
    <xf numFmtId="164" fontId="5" fillId="0" borderId="0" xfId="0" applyNumberFormat="1" applyFont="1"/>
    <xf numFmtId="164" fontId="4" fillId="0" borderId="0" xfId="0" applyNumberFormat="1" applyFont="1"/>
    <xf numFmtId="0" fontId="7" fillId="0" borderId="1" xfId="0" applyFont="1" applyBorder="1"/>
    <xf numFmtId="0" fontId="3" fillId="0" borderId="1" xfId="0" applyFont="1" applyBorder="1"/>
    <xf numFmtId="0" fontId="0" fillId="0" borderId="1" xfId="0" applyBorder="1"/>
    <xf numFmtId="0" fontId="7" fillId="0" borderId="1" xfId="0" applyFont="1" applyFill="1" applyBorder="1"/>
    <xf numFmtId="0" fontId="3" fillId="0" borderId="0" xfId="0" applyFont="1"/>
    <xf numFmtId="0" fontId="7" fillId="0" borderId="0" xfId="0" applyFont="1"/>
    <xf numFmtId="0" fontId="0" fillId="0" borderId="1" xfId="0" applyFill="1" applyBorder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0" fillId="11" borderId="0" xfId="0" applyFill="1"/>
    <xf numFmtId="0" fontId="8" fillId="0" borderId="0" xfId="0" applyFont="1" applyFill="1"/>
    <xf numFmtId="14" fontId="8" fillId="0" borderId="0" xfId="0" applyNumberFormat="1" applyFont="1" applyFill="1"/>
    <xf numFmtId="164" fontId="8" fillId="0" borderId="0" xfId="0" applyNumberFormat="1" applyFont="1" applyFill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8" fillId="0" borderId="0" xfId="0" applyFont="1"/>
    <xf numFmtId="14" fontId="8" fillId="0" borderId="0" xfId="0" applyNumberFormat="1" applyFont="1"/>
    <xf numFmtId="164" fontId="8" fillId="0" borderId="0" xfId="0" applyNumberFormat="1" applyFont="1"/>
    <xf numFmtId="0" fontId="1" fillId="3" borderId="0" xfId="0" applyFont="1" applyFill="1"/>
    <xf numFmtId="14" fontId="1" fillId="3" borderId="0" xfId="0" applyNumberFormat="1" applyFont="1" applyFill="1"/>
    <xf numFmtId="164" fontId="1" fillId="3" borderId="0" xfId="0" applyNumberFormat="1" applyFont="1" applyFill="1"/>
    <xf numFmtId="0" fontId="6" fillId="0" borderId="0" xfId="0" applyFont="1"/>
    <xf numFmtId="14" fontId="6" fillId="0" borderId="0" xfId="0" applyNumberFormat="1" applyFont="1"/>
    <xf numFmtId="0" fontId="5" fillId="0" borderId="0" xfId="0" applyFont="1"/>
    <xf numFmtId="14" fontId="5" fillId="0" borderId="0" xfId="0" applyNumberFormat="1" applyFont="1"/>
    <xf numFmtId="0" fontId="9" fillId="0" borderId="0" xfId="0" applyFont="1"/>
    <xf numFmtId="14" fontId="9" fillId="0" borderId="0" xfId="0" applyNumberFormat="1" applyFont="1"/>
    <xf numFmtId="164" fontId="9" fillId="0" borderId="0" xfId="0" applyNumberFormat="1" applyFont="1"/>
    <xf numFmtId="0" fontId="2" fillId="0" borderId="0" xfId="0" applyFont="1"/>
    <xf numFmtId="0" fontId="8" fillId="3" borderId="0" xfId="0" applyFont="1" applyFill="1"/>
    <xf numFmtId="14" fontId="8" fillId="3" borderId="0" xfId="0" applyNumberFormat="1" applyFont="1" applyFill="1"/>
    <xf numFmtId="164" fontId="8" fillId="3" borderId="0" xfId="0" applyNumberFormat="1" applyFont="1" applyFill="1"/>
    <xf numFmtId="0" fontId="3" fillId="12" borderId="1" xfId="0" applyFont="1" applyFill="1" applyBorder="1"/>
    <xf numFmtId="0" fontId="3" fillId="12" borderId="2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Fill="1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" xfId="0" applyFont="1" applyFill="1" applyBorder="1"/>
    <xf numFmtId="20" fontId="0" fillId="0" borderId="1" xfId="0" applyNumberFormat="1" applyFill="1" applyBorder="1"/>
    <xf numFmtId="0" fontId="3" fillId="0" borderId="0" xfId="0" applyFont="1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559"/>
  <sheetViews>
    <sheetView topLeftCell="D31" workbookViewId="0">
      <selection activeCell="M1" sqref="M1:O1"/>
    </sheetView>
  </sheetViews>
  <sheetFormatPr defaultRowHeight="15"/>
  <cols>
    <col min="1" max="1" width="3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0.7109375" bestFit="1" customWidth="1"/>
    <col min="6" max="7" width="8.140625" style="2" bestFit="1" customWidth="1"/>
    <col min="8" max="8" width="8.5703125" style="2" bestFit="1" customWidth="1"/>
    <col min="9" max="9" width="11.85546875" style="2" customWidth="1"/>
    <col min="10" max="10" width="18.28515625" bestFit="1" customWidth="1"/>
    <col min="11" max="11" width="16.5703125" bestFit="1" customWidth="1"/>
    <col min="12" max="12" width="15.42578125" customWidth="1"/>
    <col min="13" max="13" width="12.7109375" customWidth="1"/>
    <col min="14" max="14" width="12.85546875" customWidth="1"/>
    <col min="15" max="15" width="11.570312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 s="14">
        <v>1</v>
      </c>
      <c r="B2" s="14" t="s">
        <v>12</v>
      </c>
      <c r="C2" s="15">
        <v>46133</v>
      </c>
      <c r="D2" s="14" t="s">
        <v>13</v>
      </c>
      <c r="E2" s="15">
        <v>46133</v>
      </c>
      <c r="F2" s="16">
        <v>0.375</v>
      </c>
      <c r="G2" s="16">
        <v>0.40277777777777773</v>
      </c>
      <c r="H2" s="16">
        <v>0.75</v>
      </c>
      <c r="I2" s="16">
        <v>0.75</v>
      </c>
      <c r="J2" s="14">
        <v>9</v>
      </c>
      <c r="K2" s="14">
        <v>8.1999999999999993</v>
      </c>
      <c r="L2" s="14">
        <v>17</v>
      </c>
      <c r="M2" s="2">
        <f>G2-F2</f>
        <v>2.7777777777777735E-2</v>
      </c>
      <c r="N2" s="2">
        <f>I2-H2</f>
        <v>0</v>
      </c>
      <c r="O2" s="2">
        <f>M2-N2</f>
        <v>2.7777777777777735E-2</v>
      </c>
    </row>
    <row r="3" spans="1:15">
      <c r="A3" s="14">
        <v>2</v>
      </c>
      <c r="B3" s="14" t="s">
        <v>12</v>
      </c>
      <c r="C3" s="15">
        <v>46134</v>
      </c>
      <c r="D3" s="14" t="s">
        <v>15</v>
      </c>
      <c r="E3" s="15">
        <v>46134</v>
      </c>
      <c r="F3" s="16">
        <v>0.375</v>
      </c>
      <c r="G3" s="16">
        <v>0.40277777777777773</v>
      </c>
      <c r="H3" s="16">
        <v>0.75</v>
      </c>
      <c r="I3" s="16">
        <v>0.75</v>
      </c>
      <c r="J3" s="14">
        <v>9</v>
      </c>
      <c r="K3" s="14">
        <v>8.1999999999999993</v>
      </c>
      <c r="L3" s="14">
        <v>17</v>
      </c>
      <c r="M3" s="2">
        <f>G3-F3</f>
        <v>2.7777777777777735E-2</v>
      </c>
      <c r="N3" s="2">
        <f>I3-H3</f>
        <v>0</v>
      </c>
      <c r="O3" s="2">
        <f>M3-N3</f>
        <v>2.7777777777777735E-2</v>
      </c>
    </row>
    <row r="4" spans="1:15">
      <c r="A4" s="14">
        <v>3</v>
      </c>
      <c r="B4" s="14" t="s">
        <v>12</v>
      </c>
      <c r="C4" s="15">
        <v>46135</v>
      </c>
      <c r="D4" s="14" t="s">
        <v>16</v>
      </c>
      <c r="E4" s="15">
        <v>46135</v>
      </c>
      <c r="F4" s="16">
        <v>0.375</v>
      </c>
      <c r="G4" s="16">
        <v>0.375</v>
      </c>
      <c r="H4" s="16">
        <v>0.75</v>
      </c>
      <c r="I4" s="16">
        <v>0.75</v>
      </c>
      <c r="J4" s="14">
        <v>9</v>
      </c>
      <c r="K4" s="14">
        <v>9</v>
      </c>
      <c r="L4" s="14">
        <v>17</v>
      </c>
      <c r="M4" s="2">
        <f>G4-F4</f>
        <v>0</v>
      </c>
      <c r="N4" s="2">
        <f>I4-H4</f>
        <v>0</v>
      </c>
      <c r="O4" s="2">
        <f t="shared" ref="O4:O31" si="0">N4-M4</f>
        <v>0</v>
      </c>
    </row>
    <row r="5" spans="1:15">
      <c r="A5" s="14">
        <v>4</v>
      </c>
      <c r="B5" s="14" t="s">
        <v>12</v>
      </c>
      <c r="C5" s="15">
        <v>46136</v>
      </c>
      <c r="D5" s="14" t="s">
        <v>17</v>
      </c>
      <c r="E5" s="15">
        <v>46136</v>
      </c>
      <c r="F5" s="16">
        <v>0.375</v>
      </c>
      <c r="G5" s="16">
        <v>0.3611111111111111</v>
      </c>
      <c r="H5" s="16">
        <v>0.75</v>
      </c>
      <c r="I5" s="16">
        <v>0.77569444444444446</v>
      </c>
      <c r="J5" s="14">
        <v>9</v>
      </c>
      <c r="K5" s="14">
        <v>9.57</v>
      </c>
      <c r="L5" s="14">
        <v>17</v>
      </c>
      <c r="M5" s="2">
        <f>F5-G5</f>
        <v>1.3888888888888895E-2</v>
      </c>
      <c r="N5" s="2">
        <f>I5-H5</f>
        <v>2.5694444444444464E-2</v>
      </c>
      <c r="O5" s="2">
        <f t="shared" si="0"/>
        <v>1.1805555555555569E-2</v>
      </c>
    </row>
    <row r="6" spans="1:15">
      <c r="A6" s="14">
        <v>5</v>
      </c>
      <c r="B6" s="14" t="s">
        <v>12</v>
      </c>
      <c r="C6" s="15">
        <v>46137</v>
      </c>
      <c r="D6" s="14" t="s">
        <v>18</v>
      </c>
      <c r="E6" s="15">
        <v>46137</v>
      </c>
      <c r="F6" s="16">
        <v>0.375</v>
      </c>
      <c r="G6" s="16">
        <v>0.41666666666666669</v>
      </c>
      <c r="H6" s="16">
        <v>0.58333333333333337</v>
      </c>
      <c r="I6" s="16">
        <v>0.58333333333333337</v>
      </c>
      <c r="J6" s="14">
        <v>5</v>
      </c>
      <c r="K6" s="14">
        <v>4</v>
      </c>
      <c r="L6" s="14">
        <v>17</v>
      </c>
      <c r="M6" s="2">
        <f>G6-F6</f>
        <v>4.1666666666666685E-2</v>
      </c>
      <c r="N6" s="2">
        <f>I6-H6</f>
        <v>0</v>
      </c>
      <c r="O6" s="2">
        <f>M6-N6</f>
        <v>4.1666666666666685E-2</v>
      </c>
    </row>
    <row r="7" spans="1:15">
      <c r="A7" s="4">
        <v>6</v>
      </c>
      <c r="B7" s="4" t="s">
        <v>12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2"/>
      <c r="N7" s="2"/>
      <c r="O7" s="2"/>
    </row>
    <row r="8" spans="1:15">
      <c r="A8" s="14">
        <v>7</v>
      </c>
      <c r="B8" s="14" t="s">
        <v>12</v>
      </c>
      <c r="C8" s="15">
        <v>46139</v>
      </c>
      <c r="D8" s="14" t="s">
        <v>20</v>
      </c>
      <c r="E8" s="15">
        <v>46139</v>
      </c>
      <c r="F8" s="16">
        <v>0.375</v>
      </c>
      <c r="G8" s="16">
        <v>0.375</v>
      </c>
      <c r="H8" s="16">
        <v>0.75</v>
      </c>
      <c r="I8" s="16">
        <v>0.82638888888888884</v>
      </c>
      <c r="J8" s="14">
        <v>9</v>
      </c>
      <c r="K8" s="14">
        <v>10.5</v>
      </c>
      <c r="L8" s="14">
        <v>18</v>
      </c>
      <c r="M8" s="2">
        <f>G8-F8</f>
        <v>0</v>
      </c>
      <c r="N8" s="2">
        <f>I8-H8</f>
        <v>7.638888888888884E-2</v>
      </c>
      <c r="O8" s="2">
        <f t="shared" si="0"/>
        <v>7.638888888888884E-2</v>
      </c>
    </row>
    <row r="9" spans="1:15">
      <c r="A9" s="14">
        <v>8</v>
      </c>
      <c r="B9" s="14" t="s">
        <v>12</v>
      </c>
      <c r="C9" s="15">
        <v>46140</v>
      </c>
      <c r="D9" s="14" t="s">
        <v>13</v>
      </c>
      <c r="E9" s="15">
        <v>46140</v>
      </c>
      <c r="F9" s="16">
        <v>0.375</v>
      </c>
      <c r="G9" s="16">
        <v>0.375</v>
      </c>
      <c r="H9" s="16">
        <v>0.75</v>
      </c>
      <c r="I9" s="16">
        <v>0.625</v>
      </c>
      <c r="J9" s="14">
        <v>9</v>
      </c>
      <c r="K9" s="14">
        <v>6</v>
      </c>
      <c r="L9" s="14">
        <v>18</v>
      </c>
      <c r="M9" s="2">
        <f>G9-F9</f>
        <v>0</v>
      </c>
      <c r="N9" s="2">
        <f>H9-I9</f>
        <v>0.125</v>
      </c>
      <c r="O9" s="2">
        <f>N9-M9</f>
        <v>0.125</v>
      </c>
    </row>
    <row r="10" spans="1:15">
      <c r="A10" s="11">
        <v>9</v>
      </c>
      <c r="B10" s="11" t="s">
        <v>12</v>
      </c>
      <c r="C10" s="12">
        <v>46141</v>
      </c>
      <c r="D10" s="11" t="s">
        <v>15</v>
      </c>
      <c r="E10" s="12">
        <v>46141</v>
      </c>
      <c r="F10" s="13">
        <v>0.375</v>
      </c>
      <c r="G10" s="13" t="s">
        <v>14</v>
      </c>
      <c r="H10" s="13">
        <v>0.75</v>
      </c>
      <c r="I10" s="13" t="s">
        <v>14</v>
      </c>
      <c r="J10" s="11" t="s">
        <v>14</v>
      </c>
      <c r="K10" s="11" t="s">
        <v>14</v>
      </c>
      <c r="L10" s="11">
        <v>18</v>
      </c>
      <c r="M10" s="2"/>
      <c r="N10" s="2"/>
      <c r="O10" s="2"/>
    </row>
    <row r="11" spans="1:15">
      <c r="A11" s="11">
        <v>10</v>
      </c>
      <c r="B11" s="11" t="s">
        <v>12</v>
      </c>
      <c r="C11" s="12">
        <v>46142</v>
      </c>
      <c r="D11" s="11" t="s">
        <v>16</v>
      </c>
      <c r="E11" s="12">
        <v>46142</v>
      </c>
      <c r="F11" s="13">
        <v>0.375</v>
      </c>
      <c r="G11" s="13" t="s">
        <v>14</v>
      </c>
      <c r="H11" s="13">
        <v>0.75</v>
      </c>
      <c r="I11" s="13" t="s">
        <v>14</v>
      </c>
      <c r="J11" s="11" t="s">
        <v>14</v>
      </c>
      <c r="K11" s="11" t="s">
        <v>14</v>
      </c>
      <c r="L11" s="11">
        <v>18</v>
      </c>
      <c r="M11" s="2"/>
      <c r="N11" s="2"/>
      <c r="O11" s="2"/>
    </row>
    <row r="12" spans="1:15">
      <c r="A12" s="11">
        <v>11</v>
      </c>
      <c r="B12" s="11" t="s">
        <v>12</v>
      </c>
      <c r="C12" s="12">
        <v>46143</v>
      </c>
      <c r="D12" s="11" t="s">
        <v>17</v>
      </c>
      <c r="E12" s="12">
        <v>46143</v>
      </c>
      <c r="F12" s="13">
        <v>0.375</v>
      </c>
      <c r="G12" s="13" t="s">
        <v>14</v>
      </c>
      <c r="H12" s="13">
        <v>0.75</v>
      </c>
      <c r="I12" s="13" t="s">
        <v>14</v>
      </c>
      <c r="J12" s="11" t="s">
        <v>14</v>
      </c>
      <c r="K12" s="11" t="s">
        <v>14</v>
      </c>
      <c r="L12" s="11">
        <v>18</v>
      </c>
      <c r="M12" s="2"/>
      <c r="N12" s="2"/>
      <c r="O12" s="2"/>
    </row>
    <row r="13" spans="1:15">
      <c r="A13" s="11">
        <v>12</v>
      </c>
      <c r="B13" s="11" t="s">
        <v>12</v>
      </c>
      <c r="C13" s="12">
        <v>46144</v>
      </c>
      <c r="D13" s="11" t="s">
        <v>18</v>
      </c>
      <c r="E13" s="12">
        <v>46144</v>
      </c>
      <c r="F13" s="13">
        <v>0.375</v>
      </c>
      <c r="G13" s="13" t="s">
        <v>14</v>
      </c>
      <c r="H13" s="13">
        <v>0.58333333333333337</v>
      </c>
      <c r="I13" s="13" t="s">
        <v>14</v>
      </c>
      <c r="J13" s="11" t="s">
        <v>14</v>
      </c>
      <c r="K13" s="11" t="s">
        <v>14</v>
      </c>
      <c r="L13" s="11">
        <v>18</v>
      </c>
      <c r="M13" s="2"/>
      <c r="N13" s="2"/>
      <c r="O13" s="2"/>
    </row>
    <row r="14" spans="1:15">
      <c r="A14" s="4">
        <v>13</v>
      </c>
      <c r="B14" s="4" t="s">
        <v>12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2"/>
      <c r="N14" s="2"/>
      <c r="O14" s="2"/>
    </row>
    <row r="15" spans="1:15">
      <c r="A15" s="11">
        <v>14</v>
      </c>
      <c r="B15" s="11" t="s">
        <v>12</v>
      </c>
      <c r="C15" s="12">
        <v>46146</v>
      </c>
      <c r="D15" s="11" t="s">
        <v>20</v>
      </c>
      <c r="E15" s="12">
        <v>46146</v>
      </c>
      <c r="F15" s="13">
        <v>0.375</v>
      </c>
      <c r="G15" s="13" t="s">
        <v>14</v>
      </c>
      <c r="H15" s="13">
        <v>0.75</v>
      </c>
      <c r="I15" s="13" t="s">
        <v>14</v>
      </c>
      <c r="J15" s="11" t="s">
        <v>14</v>
      </c>
      <c r="K15" s="11" t="s">
        <v>14</v>
      </c>
      <c r="L15" s="11">
        <v>19</v>
      </c>
      <c r="M15" s="2"/>
      <c r="N15" s="2"/>
      <c r="O15" s="2"/>
    </row>
    <row r="16" spans="1:15">
      <c r="A16" s="11">
        <v>15</v>
      </c>
      <c r="B16" s="11" t="s">
        <v>12</v>
      </c>
      <c r="C16" s="12">
        <v>46147</v>
      </c>
      <c r="D16" s="11" t="s">
        <v>13</v>
      </c>
      <c r="E16" s="12">
        <v>46147</v>
      </c>
      <c r="F16" s="13">
        <v>0.375</v>
      </c>
      <c r="G16" s="13" t="s">
        <v>14</v>
      </c>
      <c r="H16" s="13">
        <v>0.75</v>
      </c>
      <c r="I16" s="13" t="s">
        <v>14</v>
      </c>
      <c r="J16" s="11" t="s">
        <v>14</v>
      </c>
      <c r="K16" s="11" t="s">
        <v>14</v>
      </c>
      <c r="L16" s="11">
        <v>19</v>
      </c>
      <c r="M16" s="2"/>
      <c r="N16" s="2"/>
      <c r="O16" s="2"/>
    </row>
    <row r="17" spans="1:15">
      <c r="A17" s="11">
        <v>16</v>
      </c>
      <c r="B17" s="11" t="s">
        <v>12</v>
      </c>
      <c r="C17" s="12">
        <v>46148</v>
      </c>
      <c r="D17" s="11" t="s">
        <v>15</v>
      </c>
      <c r="E17" s="12">
        <v>46148</v>
      </c>
      <c r="F17" s="13">
        <v>0.375</v>
      </c>
      <c r="G17" s="13" t="s">
        <v>14</v>
      </c>
      <c r="H17" s="13">
        <v>0.75</v>
      </c>
      <c r="I17" s="13" t="s">
        <v>14</v>
      </c>
      <c r="J17" s="11" t="s">
        <v>14</v>
      </c>
      <c r="K17" s="11" t="s">
        <v>14</v>
      </c>
      <c r="L17" s="11">
        <v>19</v>
      </c>
      <c r="M17" s="2"/>
      <c r="N17" s="2"/>
      <c r="O17" s="2"/>
    </row>
    <row r="18" spans="1:15">
      <c r="A18">
        <v>17</v>
      </c>
      <c r="B18" t="s">
        <v>12</v>
      </c>
      <c r="C18" s="1">
        <v>46149</v>
      </c>
      <c r="D18" t="s">
        <v>16</v>
      </c>
      <c r="E18" s="1">
        <v>46149</v>
      </c>
      <c r="F18" s="2">
        <v>0.375</v>
      </c>
      <c r="G18" s="2">
        <v>0.43428240740740742</v>
      </c>
      <c r="H18" s="2">
        <v>0.75</v>
      </c>
      <c r="I18" s="2">
        <v>0.81729166666666664</v>
      </c>
      <c r="J18">
        <v>9</v>
      </c>
      <c r="K18">
        <v>9.11</v>
      </c>
      <c r="L18">
        <v>19</v>
      </c>
      <c r="M18" s="2">
        <f>G18-F18</f>
        <v>5.9282407407407423E-2</v>
      </c>
      <c r="N18" s="2">
        <f>I18-H18</f>
        <v>6.7291666666666639E-2</v>
      </c>
      <c r="O18" s="2">
        <f t="shared" si="0"/>
        <v>8.009259259259216E-3</v>
      </c>
    </row>
    <row r="19" spans="1:15">
      <c r="A19">
        <v>18</v>
      </c>
      <c r="B19" t="s">
        <v>12</v>
      </c>
      <c r="C19" s="1">
        <v>46150</v>
      </c>
      <c r="D19" t="s">
        <v>17</v>
      </c>
      <c r="E19" s="1">
        <v>46150</v>
      </c>
      <c r="F19" s="2">
        <v>0.375</v>
      </c>
      <c r="G19" s="2">
        <v>0.38928240740740738</v>
      </c>
      <c r="H19" s="2">
        <v>0.75</v>
      </c>
      <c r="I19" s="2">
        <v>0.6688425925925926</v>
      </c>
      <c r="J19">
        <v>9</v>
      </c>
      <c r="K19">
        <v>6.42</v>
      </c>
      <c r="L19">
        <v>19</v>
      </c>
      <c r="M19" s="2">
        <f>G19-F19</f>
        <v>1.4282407407407383E-2</v>
      </c>
      <c r="N19" s="2">
        <f>H19-I19</f>
        <v>8.11574074074074E-2</v>
      </c>
      <c r="O19" s="2">
        <f>N19-M19</f>
        <v>6.6875000000000018E-2</v>
      </c>
    </row>
    <row r="20" spans="1:15">
      <c r="A20">
        <v>19</v>
      </c>
      <c r="B20" t="s">
        <v>12</v>
      </c>
      <c r="C20" s="1">
        <v>46151</v>
      </c>
      <c r="D20" t="s">
        <v>18</v>
      </c>
      <c r="E20" s="1">
        <v>46151</v>
      </c>
      <c r="F20" s="2">
        <v>0.375</v>
      </c>
      <c r="G20" s="2">
        <v>0.39505787037037038</v>
      </c>
      <c r="H20" s="2">
        <v>0.58333333333333337</v>
      </c>
      <c r="I20" s="2">
        <v>0.61805555555555558</v>
      </c>
      <c r="J20">
        <v>5</v>
      </c>
      <c r="K20">
        <v>5.21</v>
      </c>
      <c r="L20">
        <v>19</v>
      </c>
      <c r="M20" s="2">
        <f>G20-F20</f>
        <v>2.0057870370370379E-2</v>
      </c>
      <c r="N20" s="2">
        <f>I20-H20</f>
        <v>3.472222222222221E-2</v>
      </c>
      <c r="O20" s="2">
        <f t="shared" si="0"/>
        <v>1.4664351851851831E-2</v>
      </c>
    </row>
    <row r="21" spans="1:15">
      <c r="A21" s="4">
        <v>20</v>
      </c>
      <c r="B21" s="4" t="s">
        <v>12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>
        <v>21</v>
      </c>
      <c r="B22" t="s">
        <v>12</v>
      </c>
      <c r="C22" s="1">
        <v>46153</v>
      </c>
      <c r="D22" t="s">
        <v>20</v>
      </c>
      <c r="E22" s="1">
        <v>46153</v>
      </c>
      <c r="F22" s="2">
        <v>0.375</v>
      </c>
      <c r="G22" s="2">
        <v>0.40243055555555557</v>
      </c>
      <c r="H22" s="2">
        <v>0.75</v>
      </c>
      <c r="I22" s="2">
        <v>0.77777777777777779</v>
      </c>
      <c r="J22">
        <v>9</v>
      </c>
      <c r="K22">
        <v>9</v>
      </c>
      <c r="L22">
        <v>20</v>
      </c>
      <c r="M22" s="2">
        <f>G22-F22</f>
        <v>2.7430555555555569E-2</v>
      </c>
      <c r="N22" s="2">
        <f>I22-H22</f>
        <v>2.777777777777779E-2</v>
      </c>
      <c r="O22" s="2">
        <f>N22-M22</f>
        <v>3.4722222222222099E-4</v>
      </c>
    </row>
    <row r="23" spans="1:15">
      <c r="A23">
        <v>22</v>
      </c>
      <c r="B23" t="s">
        <v>12</v>
      </c>
      <c r="C23" s="1">
        <v>46154</v>
      </c>
      <c r="D23" t="s">
        <v>13</v>
      </c>
      <c r="E23" s="1">
        <v>46154</v>
      </c>
      <c r="F23" s="2">
        <v>0.375</v>
      </c>
      <c r="G23" s="2">
        <v>0.38907407407407407</v>
      </c>
      <c r="H23" s="2">
        <v>0.75</v>
      </c>
      <c r="I23" s="2">
        <v>0.79260416666666667</v>
      </c>
      <c r="J23">
        <v>9</v>
      </c>
      <c r="K23">
        <v>9.41</v>
      </c>
      <c r="L23">
        <v>20</v>
      </c>
      <c r="M23" s="2">
        <f>G23-F23</f>
        <v>1.4074074074074072E-2</v>
      </c>
      <c r="N23" s="2">
        <f>I23-H23</f>
        <v>4.2604166666666665E-2</v>
      </c>
      <c r="O23" s="2">
        <f t="shared" si="0"/>
        <v>2.8530092592592593E-2</v>
      </c>
    </row>
    <row r="24" spans="1:15">
      <c r="A24">
        <v>23</v>
      </c>
      <c r="B24" t="s">
        <v>12</v>
      </c>
      <c r="C24" s="1">
        <v>46155</v>
      </c>
      <c r="D24" t="s">
        <v>15</v>
      </c>
      <c r="E24" s="1">
        <v>46155</v>
      </c>
      <c r="F24" s="2">
        <v>0.375</v>
      </c>
      <c r="G24" s="2">
        <v>0.38480324074074074</v>
      </c>
      <c r="H24" s="2">
        <v>0.75</v>
      </c>
      <c r="I24" s="2">
        <v>0.78239583333333329</v>
      </c>
      <c r="J24">
        <v>9</v>
      </c>
      <c r="K24">
        <v>9.32</v>
      </c>
      <c r="L24">
        <v>20</v>
      </c>
      <c r="M24" s="2">
        <f>G24-F24</f>
        <v>9.8032407407407374E-3</v>
      </c>
      <c r="N24" s="2">
        <f>I24-H24</f>
        <v>3.239583333333329E-2</v>
      </c>
      <c r="O24" s="2">
        <f t="shared" si="0"/>
        <v>2.2592592592592553E-2</v>
      </c>
    </row>
    <row r="25" spans="1:15">
      <c r="A25">
        <v>24</v>
      </c>
      <c r="B25" t="s">
        <v>12</v>
      </c>
      <c r="C25" s="1">
        <v>46156</v>
      </c>
      <c r="D25" t="s">
        <v>16</v>
      </c>
      <c r="E25" s="1">
        <v>46156</v>
      </c>
      <c r="F25" s="2">
        <v>0.375</v>
      </c>
      <c r="G25" s="2">
        <v>0.39020833333333332</v>
      </c>
      <c r="H25" s="2">
        <v>0.75</v>
      </c>
      <c r="I25" s="2">
        <v>0.77908564814814818</v>
      </c>
      <c r="J25">
        <v>9</v>
      </c>
      <c r="K25">
        <v>9.19</v>
      </c>
      <c r="L25">
        <v>20</v>
      </c>
      <c r="M25" s="2">
        <f>G25-F25</f>
        <v>1.5208333333333324E-2</v>
      </c>
      <c r="N25" s="2">
        <f>I25-H25</f>
        <v>2.908564814814818E-2</v>
      </c>
      <c r="O25" s="2">
        <f t="shared" si="0"/>
        <v>1.3877314814814856E-2</v>
      </c>
    </row>
    <row r="26" spans="1:15">
      <c r="A26">
        <v>25</v>
      </c>
      <c r="B26" t="s">
        <v>12</v>
      </c>
      <c r="C26" s="1">
        <v>46157</v>
      </c>
      <c r="D26" t="s">
        <v>17</v>
      </c>
      <c r="E26" s="1">
        <v>46157</v>
      </c>
      <c r="F26" s="2">
        <v>0.375</v>
      </c>
      <c r="G26" s="2">
        <v>0.39005787037037037</v>
      </c>
      <c r="H26" s="2">
        <v>0.75</v>
      </c>
      <c r="I26" s="2">
        <v>0.78457175925925926</v>
      </c>
      <c r="J26">
        <v>9</v>
      </c>
      <c r="K26">
        <v>9.2799999999999994</v>
      </c>
      <c r="L26">
        <v>20</v>
      </c>
      <c r="M26" s="2">
        <f>G26-F26</f>
        <v>1.5057870370370374E-2</v>
      </c>
      <c r="N26" s="2">
        <f>I26-H26</f>
        <v>3.457175925925926E-2</v>
      </c>
      <c r="O26" s="2">
        <f t="shared" si="0"/>
        <v>1.9513888888888886E-2</v>
      </c>
    </row>
    <row r="27" spans="1:15">
      <c r="A27">
        <v>26</v>
      </c>
      <c r="B27" t="s">
        <v>12</v>
      </c>
      <c r="C27" s="1">
        <v>46158</v>
      </c>
      <c r="D27" t="s">
        <v>18</v>
      </c>
      <c r="E27" s="1">
        <v>46158</v>
      </c>
      <c r="F27" s="2">
        <v>0.375</v>
      </c>
      <c r="G27" s="2">
        <v>0.3803009259259259</v>
      </c>
      <c r="H27" s="2">
        <v>0.58333333333333337</v>
      </c>
      <c r="I27" s="2">
        <v>0.61192129629629632</v>
      </c>
      <c r="J27">
        <v>5</v>
      </c>
      <c r="K27">
        <v>5.33</v>
      </c>
      <c r="L27">
        <v>20</v>
      </c>
      <c r="M27" s="2">
        <f>G27-F27</f>
        <v>5.3009259259259034E-3</v>
      </c>
      <c r="N27" s="2">
        <f>I27-H27</f>
        <v>2.8587962962962954E-2</v>
      </c>
      <c r="O27" s="2">
        <f t="shared" si="0"/>
        <v>2.3287037037037051E-2</v>
      </c>
    </row>
    <row r="28" spans="1:15">
      <c r="A28" s="4">
        <v>27</v>
      </c>
      <c r="B28" s="4" t="s">
        <v>12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2"/>
      <c r="N28" s="2"/>
      <c r="O28" s="2"/>
    </row>
    <row r="29" spans="1:15">
      <c r="A29">
        <v>28</v>
      </c>
      <c r="B29" t="s">
        <v>12</v>
      </c>
      <c r="C29" s="1">
        <v>46160</v>
      </c>
      <c r="D29" t="s">
        <v>20</v>
      </c>
      <c r="E29" s="1">
        <v>46160</v>
      </c>
      <c r="F29" s="2">
        <v>0.375</v>
      </c>
      <c r="G29" s="2">
        <v>0.39263888888888887</v>
      </c>
      <c r="H29" s="2">
        <v>0.75</v>
      </c>
      <c r="I29" s="2">
        <v>0.77863425925925922</v>
      </c>
      <c r="J29">
        <v>9</v>
      </c>
      <c r="K29">
        <v>9.15</v>
      </c>
      <c r="L29">
        <v>21</v>
      </c>
      <c r="M29" s="2">
        <f>G29-F29</f>
        <v>1.7638888888888871E-2</v>
      </c>
      <c r="N29" s="2">
        <f>I29-H29</f>
        <v>2.863425925925922E-2</v>
      </c>
      <c r="O29" s="2">
        <f t="shared" si="0"/>
        <v>1.099537037037035E-2</v>
      </c>
    </row>
    <row r="30" spans="1:15">
      <c r="A30">
        <v>29</v>
      </c>
      <c r="B30" t="s">
        <v>12</v>
      </c>
      <c r="C30" s="1">
        <v>46161</v>
      </c>
      <c r="D30" t="s">
        <v>13</v>
      </c>
      <c r="E30" s="1">
        <v>46161</v>
      </c>
      <c r="F30" s="2">
        <v>0.375</v>
      </c>
      <c r="G30" s="2">
        <v>0.38464120370370369</v>
      </c>
      <c r="H30" s="2">
        <v>0.75</v>
      </c>
      <c r="I30" s="2">
        <v>0.77990740740740738</v>
      </c>
      <c r="J30">
        <v>9</v>
      </c>
      <c r="K30">
        <v>9.2899999999999991</v>
      </c>
      <c r="L30">
        <v>21</v>
      </c>
      <c r="M30" s="2">
        <f>G30-F30</f>
        <v>9.6412037037036935E-3</v>
      </c>
      <c r="N30" s="2">
        <f>I30-H30</f>
        <v>2.9907407407407383E-2</v>
      </c>
      <c r="O30" s="2">
        <f t="shared" si="0"/>
        <v>2.0266203703703689E-2</v>
      </c>
    </row>
    <row r="31" spans="1:15">
      <c r="A31">
        <v>30</v>
      </c>
      <c r="B31" t="s">
        <v>12</v>
      </c>
      <c r="C31" s="1">
        <v>46162</v>
      </c>
      <c r="D31" t="s">
        <v>15</v>
      </c>
      <c r="E31" s="1">
        <v>46162</v>
      </c>
      <c r="F31" s="2">
        <v>0.375</v>
      </c>
      <c r="G31" s="2">
        <v>0.38113425925925926</v>
      </c>
      <c r="H31" s="2">
        <v>0.75</v>
      </c>
      <c r="I31" s="2">
        <v>0.78755787037037039</v>
      </c>
      <c r="J31">
        <v>9</v>
      </c>
      <c r="K31">
        <v>9.4499999999999993</v>
      </c>
      <c r="L31">
        <v>21</v>
      </c>
      <c r="M31" s="2">
        <f>G31-F31</f>
        <v>6.134259259259256E-3</v>
      </c>
      <c r="N31" s="2">
        <f>I31-H31</f>
        <v>3.7557870370370394E-2</v>
      </c>
      <c r="O31" s="2">
        <f t="shared" si="0"/>
        <v>3.1423611111111138E-2</v>
      </c>
    </row>
    <row r="32" spans="1:15">
      <c r="C32" s="1"/>
      <c r="E32" s="1"/>
      <c r="L32" t="s">
        <v>32</v>
      </c>
      <c r="M32" s="13">
        <f>SUM(M2:M31)</f>
        <v>0.32502314814814803</v>
      </c>
      <c r="N32" s="18">
        <f>SUM(N2:N31)</f>
        <v>0.70137731481481469</v>
      </c>
      <c r="O32" s="19"/>
    </row>
    <row r="33" spans="3:13">
      <c r="L33" t="s">
        <v>33</v>
      </c>
      <c r="M33" s="18">
        <f>N32-M32</f>
        <v>0.37635416666666666</v>
      </c>
    </row>
    <row r="34" spans="3:13">
      <c r="L34" t="s">
        <v>45</v>
      </c>
      <c r="M34" t="s">
        <v>55</v>
      </c>
    </row>
    <row r="37" spans="3:13">
      <c r="C37" s="20" t="s">
        <v>34</v>
      </c>
      <c r="D37" s="21"/>
      <c r="E37" s="21"/>
      <c r="F37" s="21"/>
      <c r="G37" s="21"/>
      <c r="H37" s="21"/>
      <c r="I37" s="26"/>
    </row>
    <row r="38" spans="3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  <c r="I38" s="23"/>
    </row>
    <row r="39" spans="3:13">
      <c r="C39" s="21" t="s">
        <v>36</v>
      </c>
      <c r="D39" s="21">
        <f>SUM(J2:J6)</f>
        <v>41</v>
      </c>
      <c r="E39" s="21">
        <f>SUM(J8:J13)</f>
        <v>18</v>
      </c>
      <c r="F39" s="21">
        <f>SUM(J15:J20)</f>
        <v>23</v>
      </c>
      <c r="G39" s="21">
        <f>SUM(J22:J27)</f>
        <v>50</v>
      </c>
      <c r="H39" s="21">
        <f>SUM(J29:J31)</f>
        <v>27</v>
      </c>
      <c r="I39" s="26"/>
      <c r="K39" s="27"/>
      <c r="L39" s="24" t="s">
        <v>46</v>
      </c>
    </row>
    <row r="40" spans="3:13">
      <c r="C40" s="21" t="s">
        <v>37</v>
      </c>
      <c r="D40" s="21">
        <f>SUM(K2:K6)</f>
        <v>38.97</v>
      </c>
      <c r="E40" s="21">
        <f>SUM(K8:K13)</f>
        <v>16.5</v>
      </c>
      <c r="F40" s="21">
        <f>SUM(K15:K20)</f>
        <v>20.74</v>
      </c>
      <c r="G40" s="21">
        <f>SUM(K22:K27)</f>
        <v>51.53</v>
      </c>
      <c r="H40" s="21">
        <f>SUM(K29:K31)</f>
        <v>27.889999999999997</v>
      </c>
      <c r="I40" s="26"/>
      <c r="K40" s="28"/>
      <c r="L40" s="24" t="s">
        <v>44</v>
      </c>
    </row>
    <row r="41" spans="3:13">
      <c r="C41" s="20"/>
      <c r="D41" s="20" t="s">
        <v>38</v>
      </c>
      <c r="E41" s="20" t="s">
        <v>39</v>
      </c>
      <c r="F41" s="20" t="s">
        <v>32</v>
      </c>
      <c r="G41" s="24"/>
      <c r="H41" s="24"/>
      <c r="I41" s="9"/>
      <c r="K41" s="29"/>
      <c r="L41" s="24" t="s">
        <v>47</v>
      </c>
    </row>
    <row r="42" spans="3:13">
      <c r="C42" s="20" t="s">
        <v>40</v>
      </c>
      <c r="D42" s="21">
        <f>SUM(J2:J11)</f>
        <v>59</v>
      </c>
      <c r="E42" s="21">
        <f>SUM(J12:J31)</f>
        <v>100</v>
      </c>
      <c r="F42" s="21">
        <f>SUM(D42:E42)</f>
        <v>159</v>
      </c>
      <c r="G42" s="24"/>
      <c r="H42" s="24"/>
      <c r="I42"/>
      <c r="K42" s="30"/>
      <c r="L42" s="24" t="s">
        <v>48</v>
      </c>
    </row>
    <row r="43" spans="3:13">
      <c r="C43" s="20" t="s">
        <v>41</v>
      </c>
      <c r="D43" s="21">
        <f>SUM(K2:K11)</f>
        <v>55.47</v>
      </c>
      <c r="E43" s="21">
        <f>SUM(K12:K31)</f>
        <v>100.16000000000001</v>
      </c>
      <c r="F43" s="21">
        <f>SUM(D43:E43)</f>
        <v>155.63</v>
      </c>
      <c r="G43" s="24"/>
      <c r="H43" s="24"/>
      <c r="I43"/>
      <c r="K43" s="31"/>
      <c r="L43" s="24" t="s">
        <v>19</v>
      </c>
    </row>
    <row r="44" spans="3:13">
      <c r="C44" s="25"/>
      <c r="D44" s="24"/>
      <c r="E44" s="24"/>
      <c r="F44" s="24"/>
      <c r="G44" s="24"/>
      <c r="H44" s="24"/>
      <c r="I44"/>
      <c r="K44" s="32"/>
      <c r="L44" s="24" t="s">
        <v>49</v>
      </c>
    </row>
    <row r="45" spans="3:13">
      <c r="C45" s="20" t="s">
        <v>42</v>
      </c>
      <c r="D45" s="20"/>
      <c r="E45" s="21">
        <v>30</v>
      </c>
      <c r="F45" s="24"/>
      <c r="G45" s="24"/>
      <c r="H45" s="24"/>
      <c r="I45"/>
      <c r="K45" s="33"/>
      <c r="L45" s="24" t="s">
        <v>50</v>
      </c>
    </row>
    <row r="46" spans="3:13">
      <c r="C46" s="21" t="s">
        <v>43</v>
      </c>
      <c r="D46" s="21"/>
      <c r="E46" s="21">
        <v>23</v>
      </c>
      <c r="F46" s="24"/>
      <c r="G46" s="24"/>
      <c r="H46" s="24"/>
      <c r="I46"/>
    </row>
    <row r="47" spans="3:13">
      <c r="C47" s="21" t="s">
        <v>44</v>
      </c>
      <c r="D47" s="21"/>
      <c r="E47" s="21">
        <v>7</v>
      </c>
      <c r="F47" s="24"/>
      <c r="G47" s="24"/>
      <c r="H47" s="24"/>
      <c r="I47"/>
    </row>
    <row r="95" spans="3:5">
      <c r="C95" s="1"/>
      <c r="E95" s="1"/>
    </row>
    <row r="96" spans="3:5">
      <c r="C96" s="1"/>
      <c r="E96" s="1"/>
    </row>
    <row r="97" spans="3:5">
      <c r="C97" s="1"/>
      <c r="E97" s="1"/>
    </row>
    <row r="98" spans="3:5">
      <c r="C98" s="1"/>
      <c r="E98" s="1"/>
    </row>
    <row r="99" spans="3:5">
      <c r="C99" s="1"/>
      <c r="E99" s="1"/>
    </row>
    <row r="100" spans="3:5">
      <c r="C100" s="1"/>
      <c r="E100" s="1"/>
    </row>
    <row r="101" spans="3:5">
      <c r="C101" s="1"/>
      <c r="E101" s="1"/>
    </row>
    <row r="102" spans="3:5">
      <c r="C102" s="1"/>
      <c r="E102" s="1"/>
    </row>
    <row r="103" spans="3:5">
      <c r="C103" s="1"/>
      <c r="E103" s="1"/>
    </row>
    <row r="104" spans="3:5">
      <c r="C104" s="1"/>
      <c r="E104" s="1"/>
    </row>
    <row r="105" spans="3:5">
      <c r="C105" s="1"/>
      <c r="E105" s="1"/>
    </row>
    <row r="106" spans="3:5">
      <c r="C106" s="1"/>
      <c r="E106" s="1"/>
    </row>
    <row r="107" spans="3:5">
      <c r="C107" s="1"/>
      <c r="E107" s="1"/>
    </row>
    <row r="108" spans="3:5">
      <c r="C108" s="1"/>
      <c r="E108" s="1"/>
    </row>
    <row r="109" spans="3:5">
      <c r="C109" s="1"/>
      <c r="E109" s="1"/>
    </row>
    <row r="110" spans="3:5">
      <c r="C110" s="1"/>
      <c r="E110" s="1"/>
    </row>
    <row r="111" spans="3:5">
      <c r="C111" s="1"/>
      <c r="E111" s="1"/>
    </row>
    <row r="112" spans="3:5">
      <c r="C112" s="1"/>
      <c r="E112" s="1"/>
    </row>
    <row r="113" spans="3:5">
      <c r="C113" s="1"/>
      <c r="E113" s="1"/>
    </row>
    <row r="114" spans="3:5">
      <c r="C114" s="1"/>
      <c r="E114" s="1"/>
    </row>
    <row r="115" spans="3:5">
      <c r="C115" s="1"/>
      <c r="E115" s="1"/>
    </row>
    <row r="116" spans="3:5">
      <c r="C116" s="1"/>
      <c r="E116" s="1"/>
    </row>
    <row r="117" spans="3:5">
      <c r="C117" s="1"/>
      <c r="E117" s="1"/>
    </row>
    <row r="118" spans="3:5">
      <c r="C118" s="1"/>
      <c r="E118" s="1"/>
    </row>
    <row r="119" spans="3:5">
      <c r="C119" s="1"/>
      <c r="E119" s="1"/>
    </row>
    <row r="120" spans="3:5">
      <c r="C120" s="1"/>
      <c r="E120" s="1"/>
    </row>
    <row r="121" spans="3:5">
      <c r="C121" s="1"/>
      <c r="E121" s="1"/>
    </row>
    <row r="122" spans="3:5">
      <c r="C122" s="1"/>
      <c r="E122" s="1"/>
    </row>
    <row r="123" spans="3:5">
      <c r="C123" s="1"/>
      <c r="E123" s="1"/>
    </row>
    <row r="124" spans="3:5">
      <c r="C124" s="1"/>
      <c r="E124" s="1"/>
    </row>
    <row r="125" spans="3:5">
      <c r="C125" s="1"/>
      <c r="E125" s="1"/>
    </row>
    <row r="126" spans="3:5">
      <c r="C126" s="1"/>
      <c r="E126" s="1"/>
    </row>
    <row r="127" spans="3:5">
      <c r="C127" s="1"/>
      <c r="E127" s="1"/>
    </row>
    <row r="128" spans="3:5">
      <c r="C128" s="1"/>
      <c r="E128" s="1"/>
    </row>
    <row r="129" spans="3:5">
      <c r="C129" s="1"/>
      <c r="E129" s="1"/>
    </row>
    <row r="130" spans="3:5">
      <c r="C130" s="1"/>
      <c r="E130" s="1"/>
    </row>
    <row r="131" spans="3:5">
      <c r="C131" s="1"/>
      <c r="E131" s="1"/>
    </row>
    <row r="132" spans="3:5">
      <c r="C132" s="1"/>
      <c r="E132" s="1"/>
    </row>
    <row r="133" spans="3:5">
      <c r="C133" s="1"/>
      <c r="E133" s="1"/>
    </row>
    <row r="134" spans="3:5">
      <c r="C134" s="1"/>
      <c r="E134" s="1"/>
    </row>
    <row r="135" spans="3:5">
      <c r="C135" s="1"/>
      <c r="E135" s="1"/>
    </row>
    <row r="136" spans="3:5">
      <c r="C136" s="1"/>
      <c r="E136" s="1"/>
    </row>
    <row r="137" spans="3:5">
      <c r="C137" s="1"/>
      <c r="E137" s="1"/>
    </row>
    <row r="138" spans="3:5">
      <c r="C138" s="1"/>
      <c r="E138" s="1"/>
    </row>
    <row r="139" spans="3:5">
      <c r="C139" s="1"/>
      <c r="E139" s="1"/>
    </row>
    <row r="140" spans="3:5">
      <c r="C140" s="1"/>
      <c r="E140" s="1"/>
    </row>
    <row r="141" spans="3:5">
      <c r="C141" s="1"/>
      <c r="E141" s="1"/>
    </row>
    <row r="142" spans="3:5">
      <c r="C142" s="1"/>
      <c r="E142" s="1"/>
    </row>
    <row r="143" spans="3:5">
      <c r="C143" s="1"/>
      <c r="E143" s="1"/>
    </row>
    <row r="144" spans="3:5">
      <c r="C144" s="1"/>
      <c r="E144" s="1"/>
    </row>
    <row r="145" spans="3:5">
      <c r="C145" s="1"/>
      <c r="E145" s="1"/>
    </row>
    <row r="146" spans="3:5">
      <c r="C146" s="1"/>
      <c r="E146" s="1"/>
    </row>
    <row r="147" spans="3:5">
      <c r="C147" s="1"/>
      <c r="E147" s="1"/>
    </row>
    <row r="148" spans="3:5">
      <c r="C148" s="1"/>
      <c r="E148" s="1"/>
    </row>
    <row r="149" spans="3:5">
      <c r="C149" s="1"/>
      <c r="E149" s="1"/>
    </row>
    <row r="150" spans="3:5">
      <c r="C150" s="1"/>
      <c r="E150" s="1"/>
    </row>
    <row r="151" spans="3:5">
      <c r="C151" s="1"/>
      <c r="E151" s="1"/>
    </row>
    <row r="152" spans="3:5">
      <c r="C152" s="1"/>
      <c r="E152" s="1"/>
    </row>
    <row r="153" spans="3:5">
      <c r="C153" s="1"/>
      <c r="E153" s="1"/>
    </row>
    <row r="154" spans="3:5">
      <c r="C154" s="1"/>
      <c r="E154" s="1"/>
    </row>
    <row r="155" spans="3:5">
      <c r="C155" s="1"/>
      <c r="E155" s="1"/>
    </row>
    <row r="156" spans="3:5">
      <c r="C156" s="1"/>
      <c r="E156" s="1"/>
    </row>
    <row r="220" spans="3:5">
      <c r="C220" s="1"/>
      <c r="E220" s="1"/>
    </row>
    <row r="221" spans="3:5">
      <c r="C221" s="1"/>
      <c r="E221" s="1"/>
    </row>
    <row r="222" spans="3:5">
      <c r="C222" s="1"/>
      <c r="E222" s="1"/>
    </row>
    <row r="223" spans="3:5">
      <c r="C223" s="1"/>
      <c r="E223" s="1"/>
    </row>
    <row r="224" spans="3:5">
      <c r="C224" s="1"/>
      <c r="E224" s="1"/>
    </row>
    <row r="225" spans="3:5">
      <c r="C225" s="1"/>
      <c r="E225" s="1"/>
    </row>
    <row r="226" spans="3:5">
      <c r="C226" s="1"/>
      <c r="E226" s="1"/>
    </row>
    <row r="227" spans="3:5">
      <c r="C227" s="1"/>
      <c r="E227" s="1"/>
    </row>
    <row r="228" spans="3:5">
      <c r="C228" s="1"/>
      <c r="E228" s="1"/>
    </row>
    <row r="229" spans="3:5">
      <c r="C229" s="1"/>
      <c r="E229" s="1"/>
    </row>
    <row r="230" spans="3:5">
      <c r="C230" s="1"/>
      <c r="E230" s="1"/>
    </row>
    <row r="231" spans="3:5">
      <c r="C231" s="1"/>
      <c r="E231" s="1"/>
    </row>
    <row r="232" spans="3:5">
      <c r="C232" s="1"/>
      <c r="E232" s="1"/>
    </row>
    <row r="233" spans="3:5">
      <c r="C233" s="1"/>
      <c r="E233" s="1"/>
    </row>
    <row r="234" spans="3:5">
      <c r="C234" s="1"/>
      <c r="E234" s="1"/>
    </row>
    <row r="235" spans="3:5">
      <c r="C235" s="1"/>
      <c r="E235" s="1"/>
    </row>
    <row r="236" spans="3:5">
      <c r="C236" s="1"/>
      <c r="E236" s="1"/>
    </row>
    <row r="237" spans="3:5">
      <c r="C237" s="1"/>
      <c r="E237" s="1"/>
    </row>
    <row r="238" spans="3:5">
      <c r="C238" s="1"/>
      <c r="E238" s="1"/>
    </row>
    <row r="239" spans="3:5">
      <c r="C239" s="1"/>
      <c r="E239" s="1"/>
    </row>
    <row r="240" spans="3:5">
      <c r="C240" s="1"/>
      <c r="E240" s="1"/>
    </row>
    <row r="241" spans="3:5">
      <c r="C241" s="1"/>
      <c r="E241" s="1"/>
    </row>
    <row r="242" spans="3:5">
      <c r="C242" s="1"/>
      <c r="E242" s="1"/>
    </row>
    <row r="243" spans="3:5">
      <c r="C243" s="1"/>
      <c r="E243" s="1"/>
    </row>
    <row r="244" spans="3:5">
      <c r="C244" s="1"/>
      <c r="E244" s="1"/>
    </row>
    <row r="245" spans="3:5">
      <c r="C245" s="1"/>
      <c r="E245" s="1"/>
    </row>
    <row r="246" spans="3:5">
      <c r="C246" s="1"/>
      <c r="E246" s="1"/>
    </row>
    <row r="247" spans="3:5">
      <c r="C247" s="1"/>
      <c r="E247" s="1"/>
    </row>
    <row r="248" spans="3:5">
      <c r="C248" s="1"/>
      <c r="E248" s="1"/>
    </row>
    <row r="249" spans="3:5">
      <c r="C249" s="1"/>
      <c r="E249" s="1"/>
    </row>
    <row r="250" spans="3:5">
      <c r="C250" s="1"/>
      <c r="E250" s="1"/>
    </row>
    <row r="251" spans="3:5">
      <c r="C251" s="1"/>
      <c r="E251" s="1"/>
    </row>
    <row r="252" spans="3:5">
      <c r="C252" s="1"/>
      <c r="E252" s="1"/>
    </row>
    <row r="253" spans="3:5">
      <c r="C253" s="1"/>
      <c r="E253" s="1"/>
    </row>
    <row r="254" spans="3:5">
      <c r="C254" s="1"/>
      <c r="E254" s="1"/>
    </row>
    <row r="255" spans="3:5">
      <c r="C255" s="1"/>
      <c r="E255" s="1"/>
    </row>
    <row r="256" spans="3:5">
      <c r="C256" s="1"/>
      <c r="E256" s="1"/>
    </row>
    <row r="257" spans="3:5">
      <c r="C257" s="1"/>
      <c r="E257" s="1"/>
    </row>
    <row r="258" spans="3:5">
      <c r="C258" s="1"/>
      <c r="E258" s="1"/>
    </row>
    <row r="259" spans="3:5">
      <c r="C259" s="1"/>
      <c r="E259" s="1"/>
    </row>
    <row r="260" spans="3:5">
      <c r="C260" s="1"/>
      <c r="E260" s="1"/>
    </row>
    <row r="261" spans="3:5">
      <c r="C261" s="1"/>
      <c r="E261" s="1"/>
    </row>
    <row r="262" spans="3:5">
      <c r="C262" s="1"/>
      <c r="E262" s="1"/>
    </row>
    <row r="263" spans="3:5">
      <c r="C263" s="1"/>
      <c r="E263" s="1"/>
    </row>
    <row r="264" spans="3:5">
      <c r="C264" s="1"/>
      <c r="E264" s="1"/>
    </row>
    <row r="265" spans="3:5">
      <c r="C265" s="1"/>
      <c r="E265" s="1"/>
    </row>
    <row r="266" spans="3:5">
      <c r="C266" s="1"/>
      <c r="E266" s="1"/>
    </row>
    <row r="267" spans="3:5">
      <c r="C267" s="1"/>
      <c r="E267" s="1"/>
    </row>
    <row r="268" spans="3:5">
      <c r="C268" s="1"/>
      <c r="E268" s="1"/>
    </row>
    <row r="269" spans="3:5">
      <c r="C269" s="1"/>
      <c r="E269" s="1"/>
    </row>
    <row r="270" spans="3:5">
      <c r="C270" s="1"/>
      <c r="E270" s="1"/>
    </row>
    <row r="271" spans="3:5">
      <c r="C271" s="1"/>
      <c r="E271" s="1"/>
    </row>
    <row r="272" spans="3:5">
      <c r="C272" s="1"/>
      <c r="E272" s="1"/>
    </row>
    <row r="273" spans="3:5">
      <c r="C273" s="1"/>
      <c r="E273" s="1"/>
    </row>
    <row r="274" spans="3:5">
      <c r="C274" s="1"/>
      <c r="E274" s="1"/>
    </row>
    <row r="275" spans="3:5">
      <c r="C275" s="1"/>
      <c r="E275" s="1"/>
    </row>
    <row r="276" spans="3:5">
      <c r="C276" s="1"/>
      <c r="E276" s="1"/>
    </row>
    <row r="277" spans="3:5">
      <c r="C277" s="1"/>
      <c r="E277" s="1"/>
    </row>
    <row r="278" spans="3:5">
      <c r="C278" s="1"/>
      <c r="E278" s="1"/>
    </row>
    <row r="279" spans="3:5">
      <c r="C279" s="1"/>
      <c r="E279" s="1"/>
    </row>
    <row r="280" spans="3:5">
      <c r="C280" s="1"/>
      <c r="E280" s="1"/>
    </row>
    <row r="281" spans="3:5">
      <c r="C281" s="1"/>
      <c r="E281" s="1"/>
    </row>
    <row r="282" spans="3:5">
      <c r="C282" s="1"/>
      <c r="E282" s="1"/>
    </row>
    <row r="283" spans="3:5">
      <c r="C283" s="1"/>
      <c r="E283" s="1"/>
    </row>
    <row r="284" spans="3:5">
      <c r="C284" s="1"/>
      <c r="E284" s="1"/>
    </row>
    <row r="285" spans="3:5">
      <c r="C285" s="1"/>
      <c r="E285" s="1"/>
    </row>
    <row r="286" spans="3:5">
      <c r="C286" s="1"/>
      <c r="E286" s="1"/>
    </row>
    <row r="287" spans="3:5">
      <c r="C287" s="1"/>
      <c r="E287" s="1"/>
    </row>
    <row r="288" spans="3:5">
      <c r="C288" s="1"/>
      <c r="E288" s="1"/>
    </row>
    <row r="289" spans="3:5">
      <c r="C289" s="1"/>
      <c r="E289" s="1"/>
    </row>
    <row r="290" spans="3:5">
      <c r="C290" s="1"/>
      <c r="E290" s="1"/>
    </row>
    <row r="291" spans="3:5">
      <c r="C291" s="1"/>
      <c r="E291" s="1"/>
    </row>
    <row r="292" spans="3:5">
      <c r="C292" s="1"/>
      <c r="E292" s="1"/>
    </row>
    <row r="293" spans="3:5">
      <c r="C293" s="1"/>
      <c r="E293" s="1"/>
    </row>
    <row r="294" spans="3:5">
      <c r="C294" s="1"/>
      <c r="E294" s="1"/>
    </row>
    <row r="295" spans="3:5">
      <c r="C295" s="1"/>
      <c r="E295" s="1"/>
    </row>
    <row r="296" spans="3:5">
      <c r="C296" s="1"/>
      <c r="E296" s="1"/>
    </row>
    <row r="297" spans="3:5">
      <c r="C297" s="1"/>
      <c r="E297" s="1"/>
    </row>
    <row r="298" spans="3:5">
      <c r="C298" s="1"/>
      <c r="E298" s="1"/>
    </row>
    <row r="299" spans="3:5">
      <c r="C299" s="1"/>
      <c r="E299" s="1"/>
    </row>
    <row r="300" spans="3:5">
      <c r="C300" s="1"/>
      <c r="E300" s="1"/>
    </row>
    <row r="301" spans="3:5">
      <c r="C301" s="1"/>
      <c r="E301" s="1"/>
    </row>
    <row r="302" spans="3:5">
      <c r="C302" s="1"/>
      <c r="E302" s="1"/>
    </row>
    <row r="303" spans="3:5">
      <c r="C303" s="1"/>
      <c r="E303" s="1"/>
    </row>
    <row r="304" spans="3:5">
      <c r="C304" s="1"/>
      <c r="E304" s="1"/>
    </row>
    <row r="305" spans="3:5">
      <c r="C305" s="1"/>
      <c r="E305" s="1"/>
    </row>
    <row r="306" spans="3:5">
      <c r="C306" s="1"/>
      <c r="E306" s="1"/>
    </row>
    <row r="307" spans="3:5">
      <c r="C307" s="1"/>
      <c r="E307" s="1"/>
    </row>
    <row r="308" spans="3:5">
      <c r="C308" s="1"/>
      <c r="E308" s="1"/>
    </row>
    <row r="309" spans="3:5">
      <c r="C309" s="1"/>
      <c r="E309" s="1"/>
    </row>
    <row r="310" spans="3:5">
      <c r="C310" s="1"/>
      <c r="E310" s="1"/>
    </row>
    <row r="311" spans="3:5">
      <c r="C311" s="1"/>
      <c r="E311" s="1"/>
    </row>
    <row r="374" spans="3:5">
      <c r="C374" s="1"/>
      <c r="E374" s="1"/>
    </row>
    <row r="375" spans="3:5">
      <c r="C375" s="1"/>
      <c r="E375" s="1"/>
    </row>
    <row r="376" spans="3:5">
      <c r="C376" s="1"/>
      <c r="E376" s="1"/>
    </row>
    <row r="377" spans="3:5">
      <c r="C377" s="1"/>
      <c r="E377" s="1"/>
    </row>
    <row r="378" spans="3:5">
      <c r="C378" s="1"/>
      <c r="E378" s="1"/>
    </row>
    <row r="379" spans="3:5">
      <c r="C379" s="1"/>
      <c r="E379" s="1"/>
    </row>
    <row r="380" spans="3:5">
      <c r="C380" s="1"/>
      <c r="E380" s="1"/>
    </row>
    <row r="381" spans="3:5">
      <c r="C381" s="1"/>
      <c r="E381" s="1"/>
    </row>
    <row r="382" spans="3:5">
      <c r="C382" s="1"/>
      <c r="E382" s="1"/>
    </row>
    <row r="383" spans="3:5">
      <c r="C383" s="1"/>
      <c r="E383" s="1"/>
    </row>
    <row r="384" spans="3:5">
      <c r="C384" s="1"/>
      <c r="E384" s="1"/>
    </row>
    <row r="385" spans="3:5">
      <c r="C385" s="1"/>
      <c r="E385" s="1"/>
    </row>
    <row r="386" spans="3:5">
      <c r="C386" s="1"/>
      <c r="E386" s="1"/>
    </row>
    <row r="387" spans="3:5">
      <c r="C387" s="1"/>
      <c r="E387" s="1"/>
    </row>
    <row r="388" spans="3:5">
      <c r="C388" s="1"/>
      <c r="E388" s="1"/>
    </row>
    <row r="389" spans="3:5">
      <c r="C389" s="1"/>
      <c r="E389" s="1"/>
    </row>
    <row r="390" spans="3:5">
      <c r="C390" s="1"/>
      <c r="E390" s="1"/>
    </row>
    <row r="391" spans="3:5">
      <c r="C391" s="1"/>
      <c r="E391" s="1"/>
    </row>
    <row r="392" spans="3:5">
      <c r="C392" s="1"/>
      <c r="E392" s="1"/>
    </row>
    <row r="393" spans="3:5">
      <c r="C393" s="1"/>
      <c r="E393" s="1"/>
    </row>
    <row r="394" spans="3:5">
      <c r="C394" s="1"/>
      <c r="E394" s="1"/>
    </row>
    <row r="395" spans="3:5">
      <c r="C395" s="1"/>
      <c r="E395" s="1"/>
    </row>
    <row r="396" spans="3:5">
      <c r="C396" s="1"/>
      <c r="E396" s="1"/>
    </row>
    <row r="397" spans="3:5">
      <c r="C397" s="1"/>
      <c r="E397" s="1"/>
    </row>
    <row r="398" spans="3:5">
      <c r="C398" s="1"/>
      <c r="E398" s="1"/>
    </row>
    <row r="399" spans="3:5">
      <c r="C399" s="1"/>
      <c r="E399" s="1"/>
    </row>
    <row r="400" spans="3:5">
      <c r="C400" s="1"/>
      <c r="E400" s="1"/>
    </row>
    <row r="401" spans="3:5">
      <c r="C401" s="1"/>
      <c r="E401" s="1"/>
    </row>
    <row r="402" spans="3:5">
      <c r="C402" s="1"/>
      <c r="E402" s="1"/>
    </row>
    <row r="403" spans="3:5">
      <c r="C403" s="1"/>
      <c r="E403" s="1"/>
    </row>
    <row r="404" spans="3:5">
      <c r="C404" s="1"/>
      <c r="E404" s="1"/>
    </row>
    <row r="436" spans="3:5">
      <c r="C436" s="1"/>
      <c r="E436" s="1"/>
    </row>
    <row r="437" spans="3:5">
      <c r="C437" s="1"/>
      <c r="E437" s="1"/>
    </row>
    <row r="438" spans="3:5">
      <c r="C438" s="1"/>
      <c r="E438" s="1"/>
    </row>
    <row r="439" spans="3:5">
      <c r="C439" s="1"/>
      <c r="E439" s="1"/>
    </row>
    <row r="440" spans="3:5">
      <c r="C440" s="1"/>
      <c r="E440" s="1"/>
    </row>
    <row r="441" spans="3:5">
      <c r="C441" s="1"/>
      <c r="E441" s="1"/>
    </row>
    <row r="442" spans="3:5">
      <c r="C442" s="1"/>
      <c r="E442" s="1"/>
    </row>
    <row r="443" spans="3:5">
      <c r="C443" s="1"/>
      <c r="E443" s="1"/>
    </row>
    <row r="444" spans="3:5">
      <c r="C444" s="1"/>
      <c r="E444" s="1"/>
    </row>
    <row r="445" spans="3:5">
      <c r="C445" s="1"/>
      <c r="E445" s="1"/>
    </row>
    <row r="446" spans="3:5">
      <c r="C446" s="1"/>
      <c r="E446" s="1"/>
    </row>
    <row r="447" spans="3:5">
      <c r="C447" s="1"/>
      <c r="E447" s="1"/>
    </row>
    <row r="448" spans="3:5">
      <c r="C448" s="1"/>
      <c r="E448" s="1"/>
    </row>
    <row r="449" spans="3:5">
      <c r="C449" s="1"/>
      <c r="E449" s="1"/>
    </row>
    <row r="450" spans="3:5">
      <c r="C450" s="1"/>
      <c r="E450" s="1"/>
    </row>
    <row r="451" spans="3:5">
      <c r="C451" s="1"/>
      <c r="E451" s="1"/>
    </row>
    <row r="452" spans="3:5">
      <c r="C452" s="1"/>
      <c r="E452" s="1"/>
    </row>
    <row r="453" spans="3:5">
      <c r="C453" s="1"/>
      <c r="E453" s="1"/>
    </row>
    <row r="454" spans="3:5">
      <c r="C454" s="1"/>
      <c r="E454" s="1"/>
    </row>
    <row r="455" spans="3:5">
      <c r="C455" s="1"/>
      <c r="E455" s="1"/>
    </row>
    <row r="456" spans="3:5">
      <c r="C456" s="1"/>
      <c r="E456" s="1"/>
    </row>
    <row r="457" spans="3:5">
      <c r="C457" s="1"/>
      <c r="E457" s="1"/>
    </row>
    <row r="458" spans="3:5">
      <c r="C458" s="1"/>
      <c r="E458" s="1"/>
    </row>
    <row r="459" spans="3:5">
      <c r="C459" s="1"/>
      <c r="E459" s="1"/>
    </row>
    <row r="460" spans="3:5">
      <c r="C460" s="1"/>
      <c r="E460" s="1"/>
    </row>
    <row r="461" spans="3:5">
      <c r="C461" s="1"/>
      <c r="E461" s="1"/>
    </row>
    <row r="462" spans="3:5">
      <c r="C462" s="1"/>
      <c r="E462" s="1"/>
    </row>
    <row r="463" spans="3:5">
      <c r="C463" s="1"/>
      <c r="E463" s="1"/>
    </row>
    <row r="464" spans="3:5">
      <c r="C464" s="1"/>
      <c r="E464" s="1"/>
    </row>
    <row r="465" spans="3:5">
      <c r="C465" s="1"/>
      <c r="E465" s="1"/>
    </row>
    <row r="466" spans="3:5">
      <c r="C466" s="1"/>
      <c r="E466" s="1"/>
    </row>
    <row r="467" spans="3:5">
      <c r="C467" s="1"/>
      <c r="E467" s="1"/>
    </row>
    <row r="468" spans="3:5">
      <c r="C468" s="1"/>
      <c r="E468" s="1"/>
    </row>
    <row r="469" spans="3:5">
      <c r="C469" s="1"/>
      <c r="E469" s="1"/>
    </row>
    <row r="470" spans="3:5">
      <c r="C470" s="1"/>
      <c r="E470" s="1"/>
    </row>
    <row r="471" spans="3:5">
      <c r="C471" s="1"/>
      <c r="E471" s="1"/>
    </row>
    <row r="472" spans="3:5">
      <c r="C472" s="1"/>
      <c r="E472" s="1"/>
    </row>
    <row r="473" spans="3:5">
      <c r="C473" s="1"/>
      <c r="E473" s="1"/>
    </row>
    <row r="474" spans="3:5">
      <c r="C474" s="1"/>
      <c r="E474" s="1"/>
    </row>
    <row r="475" spans="3:5">
      <c r="C475" s="1"/>
      <c r="E475" s="1"/>
    </row>
    <row r="476" spans="3:5">
      <c r="C476" s="1"/>
      <c r="E476" s="1"/>
    </row>
    <row r="477" spans="3:5">
      <c r="C477" s="1"/>
      <c r="E477" s="1"/>
    </row>
    <row r="478" spans="3:5">
      <c r="C478" s="1"/>
      <c r="E478" s="1"/>
    </row>
    <row r="479" spans="3:5">
      <c r="C479" s="1"/>
      <c r="E479" s="1"/>
    </row>
    <row r="480" spans="3:5">
      <c r="C480" s="1"/>
      <c r="E480" s="1"/>
    </row>
    <row r="481" spans="3:5">
      <c r="C481" s="1"/>
      <c r="E481" s="1"/>
    </row>
    <row r="482" spans="3:5">
      <c r="C482" s="1"/>
      <c r="E482" s="1"/>
    </row>
    <row r="483" spans="3:5">
      <c r="C483" s="1"/>
      <c r="E483" s="1"/>
    </row>
    <row r="484" spans="3:5">
      <c r="C484" s="1"/>
      <c r="E484" s="1"/>
    </row>
    <row r="485" spans="3:5">
      <c r="C485" s="1"/>
      <c r="E485" s="1"/>
    </row>
    <row r="486" spans="3:5">
      <c r="C486" s="1"/>
      <c r="E486" s="1"/>
    </row>
    <row r="487" spans="3:5">
      <c r="C487" s="1"/>
      <c r="E487" s="1"/>
    </row>
    <row r="488" spans="3:5">
      <c r="C488" s="1"/>
      <c r="E488" s="1"/>
    </row>
    <row r="489" spans="3:5">
      <c r="C489" s="1"/>
      <c r="E489" s="1"/>
    </row>
    <row r="490" spans="3:5">
      <c r="C490" s="1"/>
      <c r="E490" s="1"/>
    </row>
    <row r="491" spans="3:5">
      <c r="C491" s="1"/>
      <c r="E491" s="1"/>
    </row>
    <row r="492" spans="3:5">
      <c r="C492" s="1"/>
      <c r="E492" s="1"/>
    </row>
    <row r="493" spans="3:5">
      <c r="C493" s="1"/>
      <c r="E493" s="1"/>
    </row>
    <row r="494" spans="3:5">
      <c r="C494" s="1"/>
      <c r="E494" s="1"/>
    </row>
    <row r="495" spans="3:5">
      <c r="C495" s="1"/>
      <c r="E495" s="1"/>
    </row>
    <row r="496" spans="3:5">
      <c r="C496" s="1"/>
      <c r="E496" s="1"/>
    </row>
    <row r="497" spans="3:5">
      <c r="C497" s="1"/>
      <c r="E497" s="1"/>
    </row>
    <row r="498" spans="3:5">
      <c r="C498" s="1"/>
      <c r="E498" s="1"/>
    </row>
    <row r="499" spans="3:5">
      <c r="C499" s="1"/>
      <c r="E499" s="1"/>
    </row>
    <row r="500" spans="3:5">
      <c r="C500" s="1"/>
      <c r="E500" s="1"/>
    </row>
    <row r="501" spans="3:5">
      <c r="C501" s="1"/>
      <c r="E501" s="1"/>
    </row>
    <row r="502" spans="3:5">
      <c r="C502" s="1"/>
      <c r="E502" s="1"/>
    </row>
    <row r="503" spans="3:5">
      <c r="C503" s="1"/>
      <c r="E503" s="1"/>
    </row>
    <row r="504" spans="3:5">
      <c r="C504" s="1"/>
      <c r="E504" s="1"/>
    </row>
    <row r="505" spans="3:5">
      <c r="C505" s="1"/>
      <c r="E505" s="1"/>
    </row>
    <row r="506" spans="3:5">
      <c r="C506" s="1"/>
      <c r="E506" s="1"/>
    </row>
    <row r="507" spans="3:5">
      <c r="C507" s="1"/>
      <c r="E507" s="1"/>
    </row>
    <row r="508" spans="3:5">
      <c r="C508" s="1"/>
      <c r="E508" s="1"/>
    </row>
    <row r="509" spans="3:5">
      <c r="C509" s="1"/>
      <c r="E509" s="1"/>
    </row>
    <row r="510" spans="3:5">
      <c r="C510" s="1"/>
      <c r="E510" s="1"/>
    </row>
    <row r="511" spans="3:5">
      <c r="C511" s="1"/>
      <c r="E511" s="1"/>
    </row>
    <row r="512" spans="3:5">
      <c r="C512" s="1"/>
      <c r="E512" s="1"/>
    </row>
    <row r="513" spans="3:5">
      <c r="C513" s="1"/>
      <c r="E513" s="1"/>
    </row>
    <row r="514" spans="3:5">
      <c r="C514" s="1"/>
      <c r="E514" s="1"/>
    </row>
    <row r="515" spans="3:5">
      <c r="C515" s="1"/>
      <c r="E515" s="1"/>
    </row>
    <row r="516" spans="3:5">
      <c r="C516" s="1"/>
      <c r="E516" s="1"/>
    </row>
    <row r="517" spans="3:5">
      <c r="C517" s="1"/>
      <c r="E517" s="1"/>
    </row>
    <row r="518" spans="3:5">
      <c r="C518" s="1"/>
      <c r="E518" s="1"/>
    </row>
    <row r="519" spans="3:5">
      <c r="C519" s="1"/>
      <c r="E519" s="1"/>
    </row>
    <row r="520" spans="3:5">
      <c r="C520" s="1"/>
      <c r="E520" s="1"/>
    </row>
    <row r="521" spans="3:5">
      <c r="C521" s="1"/>
      <c r="E521" s="1"/>
    </row>
    <row r="522" spans="3:5">
      <c r="C522" s="1"/>
      <c r="E522" s="1"/>
    </row>
    <row r="523" spans="3:5">
      <c r="C523" s="1"/>
      <c r="E523" s="1"/>
    </row>
    <row r="524" spans="3:5">
      <c r="C524" s="1"/>
      <c r="E524" s="1"/>
    </row>
    <row r="525" spans="3:5">
      <c r="C525" s="1"/>
      <c r="E525" s="1"/>
    </row>
    <row r="526" spans="3:5">
      <c r="C526" s="1"/>
      <c r="E526" s="1"/>
    </row>
    <row r="527" spans="3:5">
      <c r="C527" s="1"/>
      <c r="E527" s="1"/>
    </row>
    <row r="528" spans="3:5">
      <c r="C528" s="1"/>
      <c r="E528" s="1"/>
    </row>
    <row r="529" spans="3:5">
      <c r="C529" s="1"/>
      <c r="E529" s="1"/>
    </row>
    <row r="530" spans="3:5">
      <c r="C530" s="1"/>
      <c r="E530" s="1"/>
    </row>
    <row r="531" spans="3:5">
      <c r="C531" s="1"/>
      <c r="E531" s="1"/>
    </row>
    <row r="532" spans="3:5">
      <c r="C532" s="1"/>
      <c r="E532" s="1"/>
    </row>
    <row r="533" spans="3:5">
      <c r="C533" s="1"/>
      <c r="E533" s="1"/>
    </row>
    <row r="534" spans="3:5">
      <c r="C534" s="1"/>
      <c r="E534" s="1"/>
    </row>
    <row r="535" spans="3:5">
      <c r="C535" s="1"/>
      <c r="E535" s="1"/>
    </row>
    <row r="536" spans="3:5">
      <c r="C536" s="1"/>
      <c r="E536" s="1"/>
    </row>
    <row r="537" spans="3:5">
      <c r="C537" s="1"/>
      <c r="E537" s="1"/>
    </row>
    <row r="538" spans="3:5">
      <c r="C538" s="1"/>
      <c r="E538" s="1"/>
    </row>
    <row r="539" spans="3:5">
      <c r="C539" s="1"/>
      <c r="E539" s="1"/>
    </row>
    <row r="540" spans="3:5">
      <c r="C540" s="1"/>
      <c r="E540" s="1"/>
    </row>
    <row r="541" spans="3:5">
      <c r="C541" s="1"/>
      <c r="E541" s="1"/>
    </row>
    <row r="542" spans="3:5">
      <c r="C542" s="1"/>
      <c r="E542" s="1"/>
    </row>
    <row r="543" spans="3:5">
      <c r="C543" s="1"/>
      <c r="E543" s="1"/>
    </row>
    <row r="544" spans="3:5">
      <c r="C544" s="1"/>
      <c r="E544" s="1"/>
    </row>
    <row r="545" spans="3:5">
      <c r="C545" s="1"/>
      <c r="E545" s="1"/>
    </row>
    <row r="546" spans="3:5">
      <c r="C546" s="1"/>
      <c r="E546" s="1"/>
    </row>
    <row r="547" spans="3:5">
      <c r="C547" s="1"/>
      <c r="E547" s="1"/>
    </row>
    <row r="548" spans="3:5">
      <c r="C548" s="1"/>
      <c r="E548" s="1"/>
    </row>
    <row r="549" spans="3:5">
      <c r="C549" s="1"/>
      <c r="E549" s="1"/>
    </row>
    <row r="550" spans="3:5">
      <c r="C550" s="1"/>
      <c r="E550" s="1"/>
    </row>
    <row r="551" spans="3:5">
      <c r="C551" s="1"/>
      <c r="E551" s="1"/>
    </row>
    <row r="552" spans="3:5">
      <c r="C552" s="1"/>
      <c r="E552" s="1"/>
    </row>
    <row r="553" spans="3:5">
      <c r="C553" s="1"/>
      <c r="E553" s="1"/>
    </row>
    <row r="554" spans="3:5">
      <c r="C554" s="1"/>
      <c r="E554" s="1"/>
    </row>
    <row r="555" spans="3:5">
      <c r="C555" s="1"/>
      <c r="E555" s="1"/>
    </row>
    <row r="556" spans="3:5">
      <c r="C556" s="1"/>
      <c r="E556" s="1"/>
    </row>
    <row r="557" spans="3:5">
      <c r="C557" s="1"/>
      <c r="E557" s="1"/>
    </row>
    <row r="558" spans="3:5">
      <c r="C558" s="1"/>
      <c r="E558" s="1"/>
    </row>
    <row r="559" spans="3:5">
      <c r="C559" s="1"/>
      <c r="E5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P16" sqref="P16"/>
    </sheetView>
  </sheetViews>
  <sheetFormatPr defaultRowHeight="15"/>
  <cols>
    <col min="3" max="3" width="11.42578125" customWidth="1"/>
    <col min="5" max="5" width="12.14062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9"/>
      <c r="N1" s="9"/>
      <c r="O1" s="9"/>
    </row>
    <row r="2" spans="1:15">
      <c r="A2">
        <v>1</v>
      </c>
      <c r="B2" t="s">
        <v>21</v>
      </c>
      <c r="C2" s="1">
        <v>46133</v>
      </c>
      <c r="D2" t="s">
        <v>13</v>
      </c>
      <c r="E2" s="1">
        <v>46133</v>
      </c>
      <c r="F2" s="2">
        <v>0.375</v>
      </c>
      <c r="G2" s="2">
        <v>0.34258101851851852</v>
      </c>
      <c r="H2" s="2">
        <v>0.75</v>
      </c>
      <c r="I2" s="2">
        <v>0.34258101851851852</v>
      </c>
      <c r="J2">
        <v>9</v>
      </c>
      <c r="K2">
        <v>0</v>
      </c>
      <c r="L2">
        <v>17</v>
      </c>
    </row>
    <row r="3" spans="1:15">
      <c r="A3">
        <v>2</v>
      </c>
      <c r="B3" t="s">
        <v>21</v>
      </c>
      <c r="C3" s="1">
        <v>46134</v>
      </c>
      <c r="D3" t="s">
        <v>15</v>
      </c>
      <c r="E3" s="1">
        <v>46134</v>
      </c>
      <c r="F3" s="2">
        <v>0.375</v>
      </c>
      <c r="G3" s="2">
        <v>0.33696759259259257</v>
      </c>
      <c r="H3" s="2">
        <v>0.75</v>
      </c>
      <c r="I3" s="2">
        <v>0.33696759259259257</v>
      </c>
      <c r="J3">
        <v>9</v>
      </c>
      <c r="K3">
        <v>0</v>
      </c>
      <c r="L3">
        <v>17</v>
      </c>
    </row>
    <row r="4" spans="1:15">
      <c r="A4">
        <v>3</v>
      </c>
      <c r="B4" t="s">
        <v>21</v>
      </c>
      <c r="C4" s="1">
        <v>46135</v>
      </c>
      <c r="D4" t="s">
        <v>16</v>
      </c>
      <c r="E4" s="1">
        <v>46135</v>
      </c>
      <c r="F4" s="2">
        <v>0.375</v>
      </c>
      <c r="G4" s="2">
        <v>0.33387731481481481</v>
      </c>
      <c r="H4" s="2">
        <v>0.75</v>
      </c>
      <c r="I4" s="2">
        <v>0.33387731481481481</v>
      </c>
      <c r="J4">
        <v>9</v>
      </c>
      <c r="K4">
        <v>0</v>
      </c>
      <c r="L4">
        <v>17</v>
      </c>
    </row>
    <row r="5" spans="1:15">
      <c r="A5">
        <v>4</v>
      </c>
      <c r="B5" t="s">
        <v>21</v>
      </c>
      <c r="C5" s="1">
        <v>46136</v>
      </c>
      <c r="D5" t="s">
        <v>17</v>
      </c>
      <c r="E5" s="1">
        <v>46136</v>
      </c>
      <c r="F5" s="2">
        <v>0.375</v>
      </c>
      <c r="G5" s="2">
        <v>0.33528935185185182</v>
      </c>
      <c r="H5" s="2">
        <v>0.75</v>
      </c>
      <c r="I5" s="2">
        <v>0.33528935185185182</v>
      </c>
      <c r="J5">
        <v>9</v>
      </c>
      <c r="K5">
        <v>0</v>
      </c>
      <c r="L5">
        <v>17</v>
      </c>
    </row>
    <row r="6" spans="1:15">
      <c r="A6">
        <v>5</v>
      </c>
      <c r="B6" t="s">
        <v>21</v>
      </c>
      <c r="C6" s="1">
        <v>46137</v>
      </c>
      <c r="D6" t="s">
        <v>18</v>
      </c>
      <c r="E6" s="1">
        <v>46137</v>
      </c>
      <c r="F6" s="2">
        <v>0.375</v>
      </c>
      <c r="G6" s="2">
        <v>0.35002314814814817</v>
      </c>
      <c r="H6" s="2">
        <v>0.58333333333333337</v>
      </c>
      <c r="I6" s="2">
        <v>0.35002314814814817</v>
      </c>
      <c r="J6">
        <v>5</v>
      </c>
      <c r="K6">
        <v>0</v>
      </c>
      <c r="L6">
        <v>17</v>
      </c>
    </row>
    <row r="7" spans="1:15">
      <c r="A7">
        <v>6</v>
      </c>
      <c r="B7" t="s">
        <v>21</v>
      </c>
      <c r="C7" s="1">
        <v>46138</v>
      </c>
      <c r="D7" t="s">
        <v>19</v>
      </c>
      <c r="E7" s="1">
        <v>46138</v>
      </c>
      <c r="F7" s="2">
        <v>0.375</v>
      </c>
      <c r="G7" s="2" t="s">
        <v>14</v>
      </c>
      <c r="H7" s="2">
        <v>0.75</v>
      </c>
      <c r="I7" s="2" t="s">
        <v>14</v>
      </c>
      <c r="J7" t="s">
        <v>14</v>
      </c>
      <c r="K7" t="s">
        <v>14</v>
      </c>
      <c r="L7">
        <v>18</v>
      </c>
    </row>
    <row r="8" spans="1:15">
      <c r="A8">
        <v>7</v>
      </c>
      <c r="B8" t="s">
        <v>21</v>
      </c>
      <c r="C8" s="1">
        <v>46139</v>
      </c>
      <c r="D8" t="s">
        <v>20</v>
      </c>
      <c r="E8" s="1">
        <v>46139</v>
      </c>
      <c r="F8" s="2">
        <v>0.375</v>
      </c>
      <c r="G8" s="2">
        <v>0.33828703703703705</v>
      </c>
      <c r="H8" s="2">
        <v>0.75</v>
      </c>
      <c r="I8" s="2">
        <v>0.33828703703703705</v>
      </c>
      <c r="J8">
        <v>9</v>
      </c>
      <c r="K8">
        <v>0</v>
      </c>
      <c r="L8">
        <v>18</v>
      </c>
    </row>
    <row r="9" spans="1:15">
      <c r="A9">
        <v>8</v>
      </c>
      <c r="B9" t="s">
        <v>21</v>
      </c>
      <c r="C9" s="1">
        <v>46140</v>
      </c>
      <c r="D9" t="s">
        <v>13</v>
      </c>
      <c r="E9" s="1">
        <v>46140</v>
      </c>
      <c r="F9" s="2">
        <v>0.375</v>
      </c>
      <c r="G9" s="2">
        <v>0.32685185185185184</v>
      </c>
      <c r="H9" s="2">
        <v>0.75</v>
      </c>
      <c r="I9" s="2">
        <v>0.32685185185185184</v>
      </c>
      <c r="J9">
        <v>9</v>
      </c>
      <c r="K9">
        <v>0</v>
      </c>
      <c r="L9">
        <v>18</v>
      </c>
    </row>
    <row r="10" spans="1:15">
      <c r="A10">
        <v>9</v>
      </c>
      <c r="B10" t="s">
        <v>21</v>
      </c>
      <c r="C10" s="1">
        <v>46141</v>
      </c>
      <c r="D10" t="s">
        <v>15</v>
      </c>
      <c r="E10" s="1">
        <v>46141</v>
      </c>
      <c r="F10" s="2">
        <v>0.375</v>
      </c>
      <c r="G10" s="2">
        <v>0.32734953703703706</v>
      </c>
      <c r="H10" s="2">
        <v>0.75</v>
      </c>
      <c r="I10" s="2">
        <v>0.78164351851851854</v>
      </c>
      <c r="J10">
        <v>9</v>
      </c>
      <c r="K10">
        <v>10.54</v>
      </c>
      <c r="L10">
        <v>18</v>
      </c>
    </row>
    <row r="11" spans="1:15">
      <c r="A11">
        <v>10</v>
      </c>
      <c r="B11" t="s">
        <v>21</v>
      </c>
      <c r="C11" s="1">
        <v>46142</v>
      </c>
      <c r="D11" t="s">
        <v>16</v>
      </c>
      <c r="E11" s="1">
        <v>46142</v>
      </c>
      <c r="F11" s="2">
        <v>0.375</v>
      </c>
      <c r="G11" s="2">
        <v>0.32793981481481482</v>
      </c>
      <c r="H11" s="2">
        <v>0.75</v>
      </c>
      <c r="I11" s="2">
        <v>0.32793981481481482</v>
      </c>
      <c r="J11">
        <v>9</v>
      </c>
      <c r="K11">
        <v>0</v>
      </c>
      <c r="L11">
        <v>18</v>
      </c>
    </row>
    <row r="12" spans="1:15">
      <c r="A12">
        <v>11</v>
      </c>
      <c r="B12" t="s">
        <v>21</v>
      </c>
      <c r="C12" s="1">
        <v>46143</v>
      </c>
      <c r="D12" t="s">
        <v>17</v>
      </c>
      <c r="E12" s="1">
        <v>46143</v>
      </c>
      <c r="F12" s="2">
        <v>0.375</v>
      </c>
      <c r="G12" s="2">
        <v>0.3313888888888889</v>
      </c>
      <c r="H12" s="2">
        <v>0.75</v>
      </c>
      <c r="I12" s="2">
        <v>0.3313888888888889</v>
      </c>
      <c r="J12">
        <v>9</v>
      </c>
      <c r="K12">
        <v>0</v>
      </c>
      <c r="L12">
        <v>18</v>
      </c>
    </row>
    <row r="13" spans="1:15">
      <c r="A13">
        <v>12</v>
      </c>
      <c r="B13" t="s">
        <v>21</v>
      </c>
      <c r="C13" s="1">
        <v>46144</v>
      </c>
      <c r="D13" t="s">
        <v>18</v>
      </c>
      <c r="E13" s="1">
        <v>46144</v>
      </c>
      <c r="F13" s="2">
        <v>0.375</v>
      </c>
      <c r="G13" s="2">
        <v>0.32589120370370372</v>
      </c>
      <c r="H13" s="2">
        <v>0.58333333333333337</v>
      </c>
      <c r="I13" s="2">
        <v>0.62266203703703704</v>
      </c>
      <c r="J13">
        <v>5</v>
      </c>
      <c r="K13">
        <v>7.07</v>
      </c>
      <c r="L13">
        <v>18</v>
      </c>
    </row>
    <row r="14" spans="1:15">
      <c r="A14">
        <v>13</v>
      </c>
      <c r="B14" t="s">
        <v>21</v>
      </c>
      <c r="C14" s="1">
        <v>46145</v>
      </c>
      <c r="D14" t="s">
        <v>19</v>
      </c>
      <c r="E14" s="1">
        <v>46145</v>
      </c>
      <c r="F14" s="2">
        <v>0.375</v>
      </c>
      <c r="G14" s="2" t="s">
        <v>14</v>
      </c>
      <c r="H14" s="2">
        <v>0.75</v>
      </c>
      <c r="I14" s="2" t="s">
        <v>14</v>
      </c>
      <c r="J14" t="s">
        <v>14</v>
      </c>
      <c r="K14" t="s">
        <v>14</v>
      </c>
      <c r="L14">
        <v>19</v>
      </c>
    </row>
    <row r="15" spans="1:15">
      <c r="A15">
        <v>14</v>
      </c>
      <c r="B15" t="s">
        <v>21</v>
      </c>
      <c r="C15" s="1">
        <v>46146</v>
      </c>
      <c r="D15" t="s">
        <v>20</v>
      </c>
      <c r="E15" s="1">
        <v>46146</v>
      </c>
      <c r="F15" s="2">
        <v>0.375</v>
      </c>
      <c r="G15" s="2">
        <v>0.33466435185185184</v>
      </c>
      <c r="H15" s="2">
        <v>0.75</v>
      </c>
      <c r="I15" s="2">
        <v>0.33466435185185184</v>
      </c>
      <c r="J15">
        <v>9</v>
      </c>
      <c r="K15">
        <v>0</v>
      </c>
      <c r="L15">
        <v>19</v>
      </c>
    </row>
    <row r="16" spans="1:15">
      <c r="A16">
        <v>15</v>
      </c>
      <c r="B16" t="s">
        <v>21</v>
      </c>
      <c r="C16" s="1">
        <v>46147</v>
      </c>
      <c r="D16" t="s">
        <v>13</v>
      </c>
      <c r="E16" s="1">
        <v>46147</v>
      </c>
      <c r="F16" s="2">
        <v>0.375</v>
      </c>
      <c r="G16" s="2">
        <v>0.34644675925925927</v>
      </c>
      <c r="H16" s="2">
        <v>0.75</v>
      </c>
      <c r="I16" s="2">
        <v>0.34644675925925927</v>
      </c>
      <c r="J16">
        <v>9</v>
      </c>
      <c r="K16">
        <v>0</v>
      </c>
      <c r="L16">
        <v>19</v>
      </c>
    </row>
    <row r="17" spans="1:12">
      <c r="A17">
        <v>16</v>
      </c>
      <c r="B17" t="s">
        <v>21</v>
      </c>
      <c r="C17" s="1">
        <v>46148</v>
      </c>
      <c r="D17" t="s">
        <v>15</v>
      </c>
      <c r="E17" s="1">
        <v>46148</v>
      </c>
      <c r="F17" s="2">
        <v>0.375</v>
      </c>
      <c r="G17" s="2">
        <v>0.32923611111111112</v>
      </c>
      <c r="H17" s="2">
        <v>0.75</v>
      </c>
      <c r="I17" s="2">
        <v>0.32923611111111112</v>
      </c>
      <c r="J17">
        <v>9</v>
      </c>
      <c r="K17">
        <v>0</v>
      </c>
      <c r="L17">
        <v>19</v>
      </c>
    </row>
    <row r="18" spans="1:12">
      <c r="A18">
        <v>17</v>
      </c>
      <c r="B18" t="s">
        <v>21</v>
      </c>
      <c r="C18" s="1">
        <v>46149</v>
      </c>
      <c r="D18" t="s">
        <v>16</v>
      </c>
      <c r="E18" s="1">
        <v>46149</v>
      </c>
      <c r="F18" s="2">
        <v>0.375</v>
      </c>
      <c r="G18" s="2" t="s">
        <v>14</v>
      </c>
      <c r="H18" s="2">
        <v>0.75</v>
      </c>
      <c r="I18" s="2" t="s">
        <v>14</v>
      </c>
      <c r="J18" t="s">
        <v>14</v>
      </c>
      <c r="K18" t="s">
        <v>14</v>
      </c>
      <c r="L18">
        <v>19</v>
      </c>
    </row>
    <row r="19" spans="1:12">
      <c r="A19">
        <v>18</v>
      </c>
      <c r="B19" t="s">
        <v>21</v>
      </c>
      <c r="C19" s="1">
        <v>46150</v>
      </c>
      <c r="D19" t="s">
        <v>17</v>
      </c>
      <c r="E19" s="1">
        <v>46150</v>
      </c>
      <c r="F19" s="2">
        <v>0.375</v>
      </c>
      <c r="G19" s="2">
        <v>0.3256134259259259</v>
      </c>
      <c r="H19" s="2">
        <v>0.75</v>
      </c>
      <c r="I19" s="2">
        <v>0.3256134259259259</v>
      </c>
      <c r="J19">
        <v>9</v>
      </c>
      <c r="K19">
        <v>0</v>
      </c>
      <c r="L19">
        <v>19</v>
      </c>
    </row>
    <row r="20" spans="1:12">
      <c r="A20">
        <v>19</v>
      </c>
      <c r="B20" t="s">
        <v>21</v>
      </c>
      <c r="C20" s="1">
        <v>46151</v>
      </c>
      <c r="D20" t="s">
        <v>18</v>
      </c>
      <c r="E20" s="1">
        <v>46151</v>
      </c>
      <c r="F20" s="2">
        <v>0.375</v>
      </c>
      <c r="G20" s="2">
        <v>0.33027777777777778</v>
      </c>
      <c r="H20" s="2">
        <v>0.58333333333333337</v>
      </c>
      <c r="I20" s="2">
        <v>0.33027777777777778</v>
      </c>
      <c r="J20">
        <v>5</v>
      </c>
      <c r="K20">
        <v>0</v>
      </c>
      <c r="L20">
        <v>19</v>
      </c>
    </row>
    <row r="21" spans="1:12">
      <c r="A21">
        <v>20</v>
      </c>
      <c r="B21" t="s">
        <v>21</v>
      </c>
      <c r="C21" s="1">
        <v>46152</v>
      </c>
      <c r="D21" t="s">
        <v>19</v>
      </c>
      <c r="E21" s="1">
        <v>46152</v>
      </c>
      <c r="F21" s="2">
        <v>0.375</v>
      </c>
      <c r="G21" s="2" t="s">
        <v>14</v>
      </c>
      <c r="H21" s="2">
        <v>0.75</v>
      </c>
      <c r="I21" s="2" t="s">
        <v>14</v>
      </c>
      <c r="J21" t="s">
        <v>14</v>
      </c>
      <c r="K21" t="s">
        <v>14</v>
      </c>
      <c r="L21">
        <v>20</v>
      </c>
    </row>
    <row r="22" spans="1:12">
      <c r="A22">
        <v>21</v>
      </c>
      <c r="B22" t="s">
        <v>21</v>
      </c>
      <c r="C22" s="1">
        <v>46153</v>
      </c>
      <c r="D22" t="s">
        <v>20</v>
      </c>
      <c r="E22" s="1">
        <v>46153</v>
      </c>
      <c r="F22" s="2">
        <v>0.375</v>
      </c>
      <c r="G22" s="2">
        <v>0.33261574074074074</v>
      </c>
      <c r="H22" s="2">
        <v>0.75</v>
      </c>
      <c r="I22" s="2">
        <v>0.33261574074074074</v>
      </c>
      <c r="J22">
        <v>9</v>
      </c>
      <c r="K22">
        <v>0</v>
      </c>
      <c r="L22">
        <v>20</v>
      </c>
    </row>
    <row r="23" spans="1:12">
      <c r="A23">
        <v>22</v>
      </c>
      <c r="B23" t="s">
        <v>21</v>
      </c>
      <c r="C23" s="1">
        <v>46154</v>
      </c>
      <c r="D23" t="s">
        <v>13</v>
      </c>
      <c r="E23" s="1">
        <v>46154</v>
      </c>
      <c r="F23" s="2">
        <v>0.375</v>
      </c>
      <c r="G23" s="2">
        <v>0.33326388888888892</v>
      </c>
      <c r="H23" s="2">
        <v>0.75</v>
      </c>
      <c r="I23" s="2">
        <v>0.33326388888888892</v>
      </c>
      <c r="J23">
        <v>9</v>
      </c>
      <c r="K23">
        <v>0</v>
      </c>
      <c r="L23">
        <v>20</v>
      </c>
    </row>
    <row r="24" spans="1:12">
      <c r="A24">
        <v>23</v>
      </c>
      <c r="B24" t="s">
        <v>21</v>
      </c>
      <c r="C24" s="1">
        <v>46155</v>
      </c>
      <c r="D24" t="s">
        <v>15</v>
      </c>
      <c r="E24" s="1">
        <v>46155</v>
      </c>
      <c r="F24" s="2">
        <v>0.375</v>
      </c>
      <c r="G24" s="2">
        <v>0.33717592592592593</v>
      </c>
      <c r="H24" s="2">
        <v>0.75</v>
      </c>
      <c r="I24" s="2">
        <v>0.80657407407407411</v>
      </c>
      <c r="J24">
        <v>9</v>
      </c>
      <c r="K24">
        <v>11.15</v>
      </c>
      <c r="L24">
        <v>20</v>
      </c>
    </row>
    <row r="25" spans="1:12">
      <c r="A25">
        <v>24</v>
      </c>
      <c r="B25" t="s">
        <v>21</v>
      </c>
      <c r="C25" s="1">
        <v>46156</v>
      </c>
      <c r="D25" t="s">
        <v>16</v>
      </c>
      <c r="E25" s="1">
        <v>46156</v>
      </c>
      <c r="F25" s="2">
        <v>0.375</v>
      </c>
      <c r="G25" s="2">
        <v>0.8808449074074074</v>
      </c>
      <c r="H25" s="2">
        <v>0.75</v>
      </c>
      <c r="I25" s="2">
        <v>0.88319444444444439</v>
      </c>
      <c r="J25">
        <v>9</v>
      </c>
      <c r="K25">
        <v>0.03</v>
      </c>
      <c r="L25">
        <v>20</v>
      </c>
    </row>
    <row r="26" spans="1:12">
      <c r="A26">
        <v>25</v>
      </c>
      <c r="B26" t="s">
        <v>21</v>
      </c>
      <c r="C26" s="1">
        <v>46157</v>
      </c>
      <c r="D26" t="s">
        <v>17</v>
      </c>
      <c r="E26" s="1">
        <v>46157</v>
      </c>
      <c r="F26" s="2">
        <v>0.375</v>
      </c>
      <c r="G26" s="2">
        <v>0.32597222222222222</v>
      </c>
      <c r="H26" s="2">
        <v>0.75</v>
      </c>
      <c r="I26" s="2">
        <v>0.64436342592592588</v>
      </c>
      <c r="J26">
        <v>9</v>
      </c>
      <c r="K26">
        <v>7.38</v>
      </c>
      <c r="L26">
        <v>20</v>
      </c>
    </row>
    <row r="27" spans="1:12">
      <c r="A27">
        <v>26</v>
      </c>
      <c r="B27" t="s">
        <v>21</v>
      </c>
      <c r="C27" s="1">
        <v>46158</v>
      </c>
      <c r="D27" t="s">
        <v>18</v>
      </c>
      <c r="E27" s="1">
        <v>46158</v>
      </c>
      <c r="F27" s="2">
        <v>0.375</v>
      </c>
      <c r="G27" s="2">
        <v>0.32957175925925924</v>
      </c>
      <c r="H27" s="2">
        <v>0.58333333333333337</v>
      </c>
      <c r="I27" s="2">
        <v>0.32968750000000002</v>
      </c>
      <c r="J27">
        <v>5</v>
      </c>
      <c r="K27">
        <v>0</v>
      </c>
      <c r="L27">
        <v>20</v>
      </c>
    </row>
    <row r="28" spans="1:12">
      <c r="A28">
        <v>27</v>
      </c>
      <c r="B28" t="s">
        <v>21</v>
      </c>
      <c r="C28" s="1">
        <v>46159</v>
      </c>
      <c r="D28" t="s">
        <v>19</v>
      </c>
      <c r="E28" s="1">
        <v>46159</v>
      </c>
      <c r="F28" s="2">
        <v>0.375</v>
      </c>
      <c r="G28" s="2">
        <v>0.54781250000000004</v>
      </c>
      <c r="H28" s="2">
        <v>0.75</v>
      </c>
      <c r="I28" s="2">
        <v>0.79828703703703707</v>
      </c>
      <c r="J28">
        <v>9</v>
      </c>
      <c r="K28">
        <v>6</v>
      </c>
      <c r="L28">
        <v>21</v>
      </c>
    </row>
    <row r="29" spans="1:12">
      <c r="A29">
        <v>28</v>
      </c>
      <c r="B29" t="s">
        <v>21</v>
      </c>
      <c r="C29" s="1">
        <v>46160</v>
      </c>
      <c r="D29" t="s">
        <v>20</v>
      </c>
      <c r="E29" s="1">
        <v>46160</v>
      </c>
      <c r="F29" s="2">
        <v>0.375</v>
      </c>
      <c r="G29" s="2">
        <v>0.33124999999999999</v>
      </c>
      <c r="H29" s="2">
        <v>0.75</v>
      </c>
      <c r="I29" s="2">
        <v>0.78756944444444443</v>
      </c>
      <c r="J29">
        <v>9</v>
      </c>
      <c r="K29">
        <v>10.57</v>
      </c>
      <c r="L29">
        <v>21</v>
      </c>
    </row>
    <row r="30" spans="1:12">
      <c r="A30">
        <v>29</v>
      </c>
      <c r="B30" t="s">
        <v>21</v>
      </c>
      <c r="C30" s="1">
        <v>46161</v>
      </c>
      <c r="D30" t="s">
        <v>13</v>
      </c>
      <c r="E30" s="1">
        <v>46161</v>
      </c>
      <c r="F30" s="2">
        <v>0.375</v>
      </c>
      <c r="G30" s="2">
        <v>0.32799768518518518</v>
      </c>
      <c r="H30" s="2">
        <v>0.75</v>
      </c>
      <c r="I30" s="2">
        <v>0.6378935185185185</v>
      </c>
      <c r="J30">
        <v>9</v>
      </c>
      <c r="K30">
        <v>7.26</v>
      </c>
      <c r="L30">
        <v>21</v>
      </c>
    </row>
    <row r="31" spans="1:12">
      <c r="A31">
        <v>30</v>
      </c>
      <c r="B31" t="s">
        <v>21</v>
      </c>
      <c r="C31" s="1">
        <v>46162</v>
      </c>
      <c r="D31" t="s">
        <v>15</v>
      </c>
      <c r="E31" s="1">
        <v>46162</v>
      </c>
      <c r="F31" s="2">
        <v>0.375</v>
      </c>
      <c r="G31" s="2">
        <v>0.24964120370370371</v>
      </c>
      <c r="H31" s="2">
        <v>0.75</v>
      </c>
      <c r="I31" s="2">
        <v>0.79475694444444445</v>
      </c>
      <c r="J31">
        <v>9</v>
      </c>
      <c r="K31">
        <v>13.04</v>
      </c>
      <c r="L31">
        <v>21</v>
      </c>
    </row>
    <row r="32" spans="1:12">
      <c r="C32" s="1"/>
      <c r="E32" s="1"/>
      <c r="F32" s="2"/>
      <c r="G32" s="2"/>
      <c r="H32" s="2"/>
      <c r="I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7"/>
  <sheetViews>
    <sheetView topLeftCell="A31" workbookViewId="0">
      <selection activeCell="M2" sqref="M2:O2"/>
    </sheetView>
  </sheetViews>
  <sheetFormatPr defaultRowHeight="15"/>
  <cols>
    <col min="3" max="3" width="10.7109375" customWidth="1"/>
    <col min="5" max="5" width="10.140625" customWidth="1"/>
    <col min="9" max="9" width="11.7109375" customWidth="1"/>
    <col min="10" max="10" width="11.5703125" customWidth="1"/>
    <col min="11" max="11" width="12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>
        <v>1</v>
      </c>
      <c r="B2" t="s">
        <v>22</v>
      </c>
      <c r="C2" s="1">
        <v>46133</v>
      </c>
      <c r="D2" t="s">
        <v>13</v>
      </c>
      <c r="E2" s="1">
        <v>46133</v>
      </c>
      <c r="F2" s="2">
        <v>0.375</v>
      </c>
      <c r="G2" s="2">
        <v>0.38722222222222225</v>
      </c>
      <c r="H2" s="2">
        <v>0.75</v>
      </c>
      <c r="I2" s="2">
        <v>0.75548611111111108</v>
      </c>
      <c r="J2">
        <v>9</v>
      </c>
      <c r="K2">
        <v>8.5</v>
      </c>
      <c r="L2">
        <v>17</v>
      </c>
      <c r="M2" s="2">
        <f>G2-F2</f>
        <v>1.2222222222222245E-2</v>
      </c>
      <c r="N2" s="2">
        <f>I2-H2</f>
        <v>5.4861111111110805E-3</v>
      </c>
      <c r="O2" s="2">
        <f>M2-N2</f>
        <v>6.7361111111111649E-3</v>
      </c>
    </row>
    <row r="3" spans="1:15">
      <c r="A3">
        <v>2</v>
      </c>
      <c r="B3" t="s">
        <v>22</v>
      </c>
      <c r="C3" s="1">
        <v>46134</v>
      </c>
      <c r="D3" t="s">
        <v>15</v>
      </c>
      <c r="E3" s="1">
        <v>46134</v>
      </c>
      <c r="F3" s="2">
        <v>0.375</v>
      </c>
      <c r="G3" s="2">
        <v>0.3888773148148148</v>
      </c>
      <c r="H3" s="2">
        <v>0.75</v>
      </c>
      <c r="I3" s="2">
        <v>0.76170138888888894</v>
      </c>
      <c r="J3">
        <v>9</v>
      </c>
      <c r="K3">
        <v>8.56</v>
      </c>
      <c r="L3">
        <v>17</v>
      </c>
      <c r="M3" s="2">
        <f t="shared" ref="M3:M32" si="0">G3-F3</f>
        <v>1.3877314814814801E-2</v>
      </c>
      <c r="N3" s="2">
        <f t="shared" ref="N3:N32" si="1">I3-H3</f>
        <v>1.1701388888888942E-2</v>
      </c>
      <c r="O3" s="2">
        <f t="shared" ref="O3:O32" si="2">M3-N3</f>
        <v>2.175925925925859E-3</v>
      </c>
    </row>
    <row r="4" spans="1:15">
      <c r="A4">
        <v>3</v>
      </c>
      <c r="B4" t="s">
        <v>22</v>
      </c>
      <c r="C4" s="1">
        <v>46135</v>
      </c>
      <c r="D4" t="s">
        <v>16</v>
      </c>
      <c r="E4" s="1">
        <v>46135</v>
      </c>
      <c r="F4" s="2">
        <v>0.33333333333333331</v>
      </c>
      <c r="G4" s="2">
        <v>0.3429861111111111</v>
      </c>
      <c r="H4" s="2">
        <v>0.70833333333333337</v>
      </c>
      <c r="I4" s="2">
        <v>0.71994212962962967</v>
      </c>
      <c r="J4">
        <v>9</v>
      </c>
      <c r="K4">
        <v>9.02</v>
      </c>
      <c r="L4">
        <v>17</v>
      </c>
      <c r="M4" s="2">
        <f>G4-F4</f>
        <v>9.6527777777777879E-3</v>
      </c>
      <c r="N4" s="2">
        <f>I4-H4</f>
        <v>1.1608796296296298E-2</v>
      </c>
      <c r="O4" s="2">
        <f>N4-M4</f>
        <v>1.9560185185185097E-3</v>
      </c>
    </row>
    <row r="5" spans="1:15">
      <c r="A5">
        <v>4</v>
      </c>
      <c r="B5" t="s">
        <v>22</v>
      </c>
      <c r="C5" s="1">
        <v>46136</v>
      </c>
      <c r="D5" t="s">
        <v>17</v>
      </c>
      <c r="E5" s="1">
        <v>46136</v>
      </c>
      <c r="F5" s="2">
        <v>0.375</v>
      </c>
      <c r="G5" s="2">
        <v>0.37740740740740741</v>
      </c>
      <c r="H5" s="2">
        <v>0.75</v>
      </c>
      <c r="I5" s="2">
        <v>0.76120370370370372</v>
      </c>
      <c r="J5">
        <v>9</v>
      </c>
      <c r="K5">
        <v>9.1199999999999992</v>
      </c>
      <c r="L5">
        <v>17</v>
      </c>
      <c r="M5" s="2">
        <f t="shared" si="0"/>
        <v>2.4074074074074137E-3</v>
      </c>
      <c r="N5" s="2">
        <f t="shared" si="1"/>
        <v>1.1203703703703716E-2</v>
      </c>
      <c r="O5" s="2">
        <f t="shared" ref="O5:O6" si="3">N5-M5</f>
        <v>8.7962962962963021E-3</v>
      </c>
    </row>
    <row r="6" spans="1:15">
      <c r="A6">
        <v>5</v>
      </c>
      <c r="B6" t="s">
        <v>22</v>
      </c>
      <c r="C6" s="1">
        <v>46137</v>
      </c>
      <c r="D6" t="s">
        <v>18</v>
      </c>
      <c r="E6" s="1">
        <v>46137</v>
      </c>
      <c r="F6" s="2">
        <v>0.33333333333333331</v>
      </c>
      <c r="G6" s="2">
        <v>0.34997685185185184</v>
      </c>
      <c r="H6" s="2">
        <v>0.54166666666666663</v>
      </c>
      <c r="I6" s="2">
        <v>0.59472222222222226</v>
      </c>
      <c r="J6">
        <v>5</v>
      </c>
      <c r="K6">
        <v>5.52</v>
      </c>
      <c r="L6">
        <v>17</v>
      </c>
      <c r="M6" s="2">
        <f>G6-F6</f>
        <v>1.664351851851853E-2</v>
      </c>
      <c r="N6" s="2">
        <f t="shared" si="1"/>
        <v>5.3055555555555634E-2</v>
      </c>
      <c r="O6" s="2">
        <f t="shared" si="3"/>
        <v>3.6412037037037104E-2</v>
      </c>
    </row>
    <row r="7" spans="1:15">
      <c r="A7" s="4">
        <v>6</v>
      </c>
      <c r="B7" s="4" t="s">
        <v>22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2"/>
      <c r="N7" s="2"/>
      <c r="O7" s="2"/>
    </row>
    <row r="8" spans="1:15">
      <c r="A8" s="34">
        <v>7</v>
      </c>
      <c r="B8" s="34" t="s">
        <v>22</v>
      </c>
      <c r="C8" s="35">
        <v>46139</v>
      </c>
      <c r="D8" s="34" t="s">
        <v>20</v>
      </c>
      <c r="E8" s="35">
        <v>46139</v>
      </c>
      <c r="F8" s="36">
        <v>0.375</v>
      </c>
      <c r="G8" s="36" t="s">
        <v>14</v>
      </c>
      <c r="H8" s="36">
        <v>0.75</v>
      </c>
      <c r="I8" s="36" t="s">
        <v>50</v>
      </c>
      <c r="J8" s="36" t="s">
        <v>50</v>
      </c>
      <c r="K8" s="36" t="s">
        <v>50</v>
      </c>
      <c r="L8" s="34">
        <v>18</v>
      </c>
      <c r="M8" s="36"/>
      <c r="N8" s="2"/>
      <c r="O8" s="2"/>
    </row>
    <row r="9" spans="1:15">
      <c r="A9">
        <v>8</v>
      </c>
      <c r="B9" t="s">
        <v>22</v>
      </c>
      <c r="C9" s="1">
        <v>46140</v>
      </c>
      <c r="D9" t="s">
        <v>13</v>
      </c>
      <c r="E9" s="1">
        <v>46140</v>
      </c>
      <c r="F9" s="2">
        <v>0.33333333333333331</v>
      </c>
      <c r="G9" s="2">
        <v>0.34129629629629632</v>
      </c>
      <c r="H9" s="2">
        <v>0.70833333333333337</v>
      </c>
      <c r="I9" s="2">
        <v>0.71186342592592589</v>
      </c>
      <c r="J9">
        <v>9</v>
      </c>
      <c r="K9">
        <v>8.5299999999999994</v>
      </c>
      <c r="L9">
        <v>18</v>
      </c>
      <c r="M9" s="2">
        <f>G9-F9</f>
        <v>7.962962962963005E-3</v>
      </c>
      <c r="N9" s="2">
        <f t="shared" si="1"/>
        <v>3.5300925925925153E-3</v>
      </c>
      <c r="O9" s="2">
        <f>M9-N9</f>
        <v>4.4328703703704897E-3</v>
      </c>
    </row>
    <row r="10" spans="1:15">
      <c r="A10">
        <v>9</v>
      </c>
      <c r="B10" t="s">
        <v>22</v>
      </c>
      <c r="C10" s="1">
        <v>46141</v>
      </c>
      <c r="D10" t="s">
        <v>15</v>
      </c>
      <c r="E10" s="1">
        <v>46141</v>
      </c>
      <c r="F10" s="2">
        <v>0.375</v>
      </c>
      <c r="G10" s="2">
        <v>0.36899305555555556</v>
      </c>
      <c r="H10" s="2">
        <v>0.75</v>
      </c>
      <c r="I10" s="2">
        <v>0.76290509259259254</v>
      </c>
      <c r="J10">
        <v>9</v>
      </c>
      <c r="K10">
        <v>9.27</v>
      </c>
      <c r="L10">
        <v>18</v>
      </c>
      <c r="M10" s="2">
        <f t="shared" ref="M9:M10" si="4">F10-G10</f>
        <v>6.0069444444444398E-3</v>
      </c>
      <c r="N10" s="2">
        <f t="shared" si="1"/>
        <v>1.2905092592592537E-2</v>
      </c>
      <c r="O10" s="2">
        <f t="shared" ref="O9:O10" si="5">N10-M10</f>
        <v>6.8981481481480977E-3</v>
      </c>
    </row>
    <row r="11" spans="1:15">
      <c r="A11">
        <v>10</v>
      </c>
      <c r="B11" t="s">
        <v>22</v>
      </c>
      <c r="C11" s="1">
        <v>46142</v>
      </c>
      <c r="D11" t="s">
        <v>16</v>
      </c>
      <c r="E11" s="1">
        <v>46142</v>
      </c>
      <c r="F11" s="2">
        <v>0.375</v>
      </c>
      <c r="G11" s="2">
        <v>0.38798611111111109</v>
      </c>
      <c r="H11" s="2">
        <v>0.75</v>
      </c>
      <c r="I11" s="2">
        <v>0.76237268518518519</v>
      </c>
      <c r="J11">
        <v>9</v>
      </c>
      <c r="K11">
        <v>8.59</v>
      </c>
      <c r="L11">
        <v>18</v>
      </c>
      <c r="M11" s="2">
        <f t="shared" si="0"/>
        <v>1.2986111111111087E-2</v>
      </c>
      <c r="N11" s="2">
        <f t="shared" si="1"/>
        <v>1.2372685185185195E-2</v>
      </c>
      <c r="O11" s="2">
        <f t="shared" si="2"/>
        <v>6.1342592592589229E-4</v>
      </c>
    </row>
    <row r="12" spans="1:15">
      <c r="A12">
        <v>11</v>
      </c>
      <c r="B12" t="s">
        <v>22</v>
      </c>
      <c r="C12" s="1">
        <v>46143</v>
      </c>
      <c r="D12" t="s">
        <v>17</v>
      </c>
      <c r="E12" s="1">
        <v>46143</v>
      </c>
      <c r="F12" s="2">
        <v>0.33333333333333331</v>
      </c>
      <c r="G12" s="2">
        <v>0.33553240740740742</v>
      </c>
      <c r="H12" s="2">
        <v>0.70833333333333337</v>
      </c>
      <c r="I12" s="2">
        <v>0.71</v>
      </c>
      <c r="J12">
        <v>9</v>
      </c>
      <c r="K12">
        <v>8.59</v>
      </c>
      <c r="L12">
        <v>18</v>
      </c>
      <c r="M12" s="2">
        <f>G12-F12</f>
        <v>2.1990740740741033E-3</v>
      </c>
      <c r="N12" s="2">
        <f t="shared" si="1"/>
        <v>1.6666666666665941E-3</v>
      </c>
      <c r="O12" s="2">
        <f>M12-N12</f>
        <v>5.3240740740750914E-4</v>
      </c>
    </row>
    <row r="13" spans="1:15">
      <c r="A13">
        <v>12</v>
      </c>
      <c r="B13" t="s">
        <v>22</v>
      </c>
      <c r="C13" s="1">
        <v>46144</v>
      </c>
      <c r="D13" t="s">
        <v>18</v>
      </c>
      <c r="E13" s="1">
        <v>46144</v>
      </c>
      <c r="F13" s="2">
        <v>0.375</v>
      </c>
      <c r="G13" s="2">
        <v>0.37819444444444444</v>
      </c>
      <c r="H13" s="2">
        <v>0.58333333333333337</v>
      </c>
      <c r="I13" s="2">
        <v>0.58680555555555558</v>
      </c>
      <c r="J13">
        <v>5</v>
      </c>
      <c r="K13">
        <v>5.0999999999999996</v>
      </c>
      <c r="L13">
        <v>18</v>
      </c>
      <c r="M13" s="2">
        <f t="shared" si="0"/>
        <v>3.1944444444444442E-3</v>
      </c>
      <c r="N13" s="2">
        <f t="shared" si="1"/>
        <v>3.4722222222222099E-3</v>
      </c>
      <c r="O13" s="2">
        <f t="shared" ref="O12:O13" si="6">N13-M13</f>
        <v>2.7777777777776569E-4</v>
      </c>
    </row>
    <row r="14" spans="1:15">
      <c r="A14" s="4">
        <v>13</v>
      </c>
      <c r="B14" s="4" t="s">
        <v>22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2"/>
      <c r="N14" s="2"/>
      <c r="O14" s="2"/>
    </row>
    <row r="15" spans="1:15">
      <c r="A15">
        <v>14</v>
      </c>
      <c r="B15" t="s">
        <v>22</v>
      </c>
      <c r="C15" s="1">
        <v>46146</v>
      </c>
      <c r="D15" t="s">
        <v>20</v>
      </c>
      <c r="E15" s="1">
        <v>46146</v>
      </c>
      <c r="F15" s="2">
        <v>0.375</v>
      </c>
      <c r="G15" s="2">
        <v>0.37436342592592592</v>
      </c>
      <c r="H15" s="2">
        <v>0.75</v>
      </c>
      <c r="I15" s="2">
        <v>0.77810185185185188</v>
      </c>
      <c r="J15">
        <v>9</v>
      </c>
      <c r="K15">
        <v>9.41</v>
      </c>
      <c r="L15">
        <v>19</v>
      </c>
      <c r="M15" s="2">
        <f>F15-G15</f>
        <v>6.3657407407408106E-4</v>
      </c>
      <c r="N15" s="2">
        <f t="shared" si="1"/>
        <v>2.8101851851851878E-2</v>
      </c>
      <c r="O15" s="2">
        <f t="shared" ref="O15" si="7">N15-M15</f>
        <v>2.7465277777777797E-2</v>
      </c>
    </row>
    <row r="16" spans="1:15">
      <c r="A16">
        <v>15</v>
      </c>
      <c r="B16" t="s">
        <v>22</v>
      </c>
      <c r="C16" s="1">
        <v>46147</v>
      </c>
      <c r="D16" t="s">
        <v>13</v>
      </c>
      <c r="E16" s="1">
        <v>46147</v>
      </c>
      <c r="F16" s="2">
        <v>0.375</v>
      </c>
      <c r="G16" s="2">
        <v>0.38725694444444442</v>
      </c>
      <c r="H16" s="2">
        <v>0.75</v>
      </c>
      <c r="I16" s="2">
        <v>0.76159722222222226</v>
      </c>
      <c r="J16">
        <v>9</v>
      </c>
      <c r="K16">
        <v>8.59</v>
      </c>
      <c r="L16">
        <v>19</v>
      </c>
      <c r="M16" s="2">
        <f t="shared" si="0"/>
        <v>1.2256944444444418E-2</v>
      </c>
      <c r="N16" s="2">
        <f t="shared" si="1"/>
        <v>1.1597222222222259E-2</v>
      </c>
      <c r="O16" s="2">
        <f t="shared" si="2"/>
        <v>6.5972222222215882E-4</v>
      </c>
    </row>
    <row r="17" spans="1:15">
      <c r="A17" s="46">
        <v>16</v>
      </c>
      <c r="B17" s="46" t="s">
        <v>22</v>
      </c>
      <c r="C17" s="47">
        <v>46148</v>
      </c>
      <c r="D17" s="46" t="s">
        <v>15</v>
      </c>
      <c r="E17" s="47">
        <v>46148</v>
      </c>
      <c r="F17" s="17">
        <v>0.375</v>
      </c>
      <c r="G17" s="17" t="s">
        <v>14</v>
      </c>
      <c r="H17" s="17">
        <v>0.75</v>
      </c>
      <c r="I17" s="17" t="s">
        <v>56</v>
      </c>
      <c r="J17" s="17" t="s">
        <v>56</v>
      </c>
      <c r="K17" s="17" t="s">
        <v>56</v>
      </c>
      <c r="L17" s="46">
        <v>19</v>
      </c>
      <c r="M17" s="2"/>
      <c r="N17" s="2"/>
      <c r="O17" s="2"/>
    </row>
    <row r="18" spans="1:15">
      <c r="A18" s="37">
        <v>17</v>
      </c>
      <c r="B18" s="37" t="s">
        <v>22</v>
      </c>
      <c r="C18" s="38">
        <v>46149</v>
      </c>
      <c r="D18" s="37" t="s">
        <v>16</v>
      </c>
      <c r="E18" s="38">
        <v>46149</v>
      </c>
      <c r="F18" s="39">
        <v>0.375</v>
      </c>
      <c r="G18" s="39" t="s">
        <v>14</v>
      </c>
      <c r="H18" s="39">
        <v>0.75</v>
      </c>
      <c r="I18" s="39" t="s">
        <v>14</v>
      </c>
      <c r="J18" s="37" t="s">
        <v>14</v>
      </c>
      <c r="K18" s="37" t="s">
        <v>14</v>
      </c>
      <c r="L18" s="37">
        <v>19</v>
      </c>
      <c r="M18" s="2"/>
      <c r="N18" s="2"/>
      <c r="O18" s="2"/>
    </row>
    <row r="19" spans="1:15">
      <c r="A19" s="37">
        <v>18</v>
      </c>
      <c r="B19" s="37" t="s">
        <v>22</v>
      </c>
      <c r="C19" s="38">
        <v>46150</v>
      </c>
      <c r="D19" s="37" t="s">
        <v>17</v>
      </c>
      <c r="E19" s="38">
        <v>46150</v>
      </c>
      <c r="F19" s="39">
        <v>0.375</v>
      </c>
      <c r="G19" s="39" t="s">
        <v>14</v>
      </c>
      <c r="H19" s="39">
        <v>0.75</v>
      </c>
      <c r="I19" s="39" t="s">
        <v>14</v>
      </c>
      <c r="J19" s="37" t="s">
        <v>14</v>
      </c>
      <c r="K19" s="37" t="s">
        <v>14</v>
      </c>
      <c r="L19" s="37">
        <v>19</v>
      </c>
      <c r="M19" s="2"/>
      <c r="N19" s="2"/>
      <c r="O19" s="2"/>
    </row>
    <row r="20" spans="1:15">
      <c r="A20" s="37">
        <v>19</v>
      </c>
      <c r="B20" s="37" t="s">
        <v>22</v>
      </c>
      <c r="C20" s="38">
        <v>46151</v>
      </c>
      <c r="D20" s="37" t="s">
        <v>18</v>
      </c>
      <c r="E20" s="38">
        <v>46151</v>
      </c>
      <c r="F20" s="39">
        <v>0.375</v>
      </c>
      <c r="G20" s="39" t="s">
        <v>14</v>
      </c>
      <c r="H20" s="39">
        <v>0.58333333333333337</v>
      </c>
      <c r="I20" s="39" t="s">
        <v>14</v>
      </c>
      <c r="J20" s="37" t="s">
        <v>14</v>
      </c>
      <c r="K20" s="37" t="s">
        <v>14</v>
      </c>
      <c r="L20" s="37">
        <v>19</v>
      </c>
      <c r="M20" s="2"/>
      <c r="N20" s="2"/>
      <c r="O20" s="2"/>
    </row>
    <row r="21" spans="1:15">
      <c r="A21" s="43">
        <v>20</v>
      </c>
      <c r="B21" s="43" t="s">
        <v>22</v>
      </c>
      <c r="C21" s="44">
        <v>46152</v>
      </c>
      <c r="D21" s="43" t="s">
        <v>19</v>
      </c>
      <c r="E21" s="44">
        <v>46152</v>
      </c>
      <c r="F21" s="45">
        <v>0.375</v>
      </c>
      <c r="G21" s="45" t="s">
        <v>14</v>
      </c>
      <c r="H21" s="45">
        <v>0.75</v>
      </c>
      <c r="I21" s="45" t="s">
        <v>14</v>
      </c>
      <c r="J21" s="43" t="s">
        <v>14</v>
      </c>
      <c r="K21" s="43" t="s">
        <v>14</v>
      </c>
      <c r="L21" s="43">
        <v>20</v>
      </c>
      <c r="M21" s="2"/>
      <c r="N21" s="2"/>
      <c r="O21" s="2"/>
    </row>
    <row r="22" spans="1:15">
      <c r="A22" s="37">
        <v>21</v>
      </c>
      <c r="B22" s="37" t="s">
        <v>22</v>
      </c>
      <c r="C22" s="38">
        <v>46153</v>
      </c>
      <c r="D22" s="37" t="s">
        <v>20</v>
      </c>
      <c r="E22" s="38">
        <v>46153</v>
      </c>
      <c r="F22" s="39">
        <v>0.375</v>
      </c>
      <c r="G22" s="39" t="s">
        <v>14</v>
      </c>
      <c r="H22" s="39">
        <v>0.75</v>
      </c>
      <c r="I22" s="39" t="s">
        <v>14</v>
      </c>
      <c r="J22" s="37" t="s">
        <v>14</v>
      </c>
      <c r="K22" s="37" t="s">
        <v>14</v>
      </c>
      <c r="L22" s="37">
        <v>20</v>
      </c>
      <c r="M22" s="2"/>
      <c r="N22" s="2"/>
      <c r="O22" s="2"/>
    </row>
    <row r="23" spans="1:15">
      <c r="A23">
        <v>22</v>
      </c>
      <c r="B23" t="s">
        <v>22</v>
      </c>
      <c r="C23" s="1">
        <v>46154</v>
      </c>
      <c r="D23" t="s">
        <v>13</v>
      </c>
      <c r="E23" s="1">
        <v>46154</v>
      </c>
      <c r="F23" s="2">
        <v>0.375</v>
      </c>
      <c r="G23" s="2">
        <v>0.38093749999999998</v>
      </c>
      <c r="H23" s="2">
        <v>0.75</v>
      </c>
      <c r="I23" s="2">
        <v>0.75219907407407405</v>
      </c>
      <c r="J23">
        <v>9</v>
      </c>
      <c r="K23">
        <v>8.5399999999999991</v>
      </c>
      <c r="L23">
        <v>20</v>
      </c>
      <c r="M23" s="2">
        <f t="shared" si="0"/>
        <v>5.9374999999999845E-3</v>
      </c>
      <c r="N23" s="2">
        <f t="shared" si="1"/>
        <v>2.1990740740740478E-3</v>
      </c>
      <c r="O23" s="2">
        <f t="shared" si="2"/>
        <v>3.7384259259259367E-3</v>
      </c>
    </row>
    <row r="24" spans="1:15">
      <c r="A24">
        <v>23</v>
      </c>
      <c r="B24" t="s">
        <v>22</v>
      </c>
      <c r="C24" s="1">
        <v>46155</v>
      </c>
      <c r="D24" t="s">
        <v>15</v>
      </c>
      <c r="E24" s="1">
        <v>46155</v>
      </c>
      <c r="F24" s="2">
        <v>0.375</v>
      </c>
      <c r="G24" s="2">
        <v>0.37906250000000002</v>
      </c>
      <c r="H24" s="2">
        <v>0.75</v>
      </c>
      <c r="I24" s="2">
        <v>0.75996527777777778</v>
      </c>
      <c r="J24">
        <v>9</v>
      </c>
      <c r="K24">
        <v>9.08</v>
      </c>
      <c r="L24">
        <v>20</v>
      </c>
      <c r="M24" s="2">
        <f t="shared" si="0"/>
        <v>4.0625000000000244E-3</v>
      </c>
      <c r="N24" s="2">
        <f t="shared" si="1"/>
        <v>9.9652777777777812E-3</v>
      </c>
      <c r="O24" s="2">
        <f>I24-H24</f>
        <v>9.9652777777777812E-3</v>
      </c>
    </row>
    <row r="25" spans="1:15">
      <c r="A25">
        <v>24</v>
      </c>
      <c r="B25" t="s">
        <v>22</v>
      </c>
      <c r="C25" s="1">
        <v>46156</v>
      </c>
      <c r="D25" t="s">
        <v>16</v>
      </c>
      <c r="E25" s="1">
        <v>46156</v>
      </c>
      <c r="F25" s="2">
        <v>0.33333333333333331</v>
      </c>
      <c r="G25" s="2">
        <v>0.34030092592592592</v>
      </c>
      <c r="H25" s="2">
        <v>0.70833333333333337</v>
      </c>
      <c r="I25" s="2">
        <v>0.70990740740740743</v>
      </c>
      <c r="J25">
        <v>9</v>
      </c>
      <c r="K25">
        <v>8.52</v>
      </c>
      <c r="L25">
        <v>20</v>
      </c>
      <c r="M25" s="2">
        <f>G25-F25</f>
        <v>6.9675925925926085E-3</v>
      </c>
      <c r="N25" s="2">
        <f t="shared" si="1"/>
        <v>1.5740740740740611E-3</v>
      </c>
      <c r="O25" s="2">
        <f t="shared" si="2"/>
        <v>5.3935185185185475E-3</v>
      </c>
    </row>
    <row r="26" spans="1:15">
      <c r="A26">
        <v>25</v>
      </c>
      <c r="B26" t="s">
        <v>22</v>
      </c>
      <c r="C26" s="1">
        <v>46157</v>
      </c>
      <c r="D26" t="s">
        <v>17</v>
      </c>
      <c r="E26" s="1">
        <v>46157</v>
      </c>
      <c r="F26" s="2">
        <v>0.33333333333333331</v>
      </c>
      <c r="G26" s="2">
        <v>0.33622685185185186</v>
      </c>
      <c r="H26" s="2">
        <v>0.70833333333333337</v>
      </c>
      <c r="I26" s="2">
        <v>0.71902777777777782</v>
      </c>
      <c r="J26">
        <v>9</v>
      </c>
      <c r="K26">
        <v>9.11</v>
      </c>
      <c r="L26">
        <v>20</v>
      </c>
      <c r="M26" s="2">
        <f>G26-F26</f>
        <v>2.8935185185185452E-3</v>
      </c>
      <c r="N26" s="2">
        <f t="shared" si="1"/>
        <v>1.0694444444444451E-2</v>
      </c>
      <c r="O26" s="2">
        <f>N26-M26</f>
        <v>7.8009259259259056E-3</v>
      </c>
    </row>
    <row r="27" spans="1:15">
      <c r="A27" s="40">
        <v>26</v>
      </c>
      <c r="B27" s="40" t="s">
        <v>22</v>
      </c>
      <c r="C27" s="41">
        <v>46158</v>
      </c>
      <c r="D27" s="40" t="s">
        <v>18</v>
      </c>
      <c r="E27" s="41">
        <v>46158</v>
      </c>
      <c r="F27" s="42">
        <v>0.375</v>
      </c>
      <c r="G27" s="42" t="s">
        <v>14</v>
      </c>
      <c r="H27" s="42">
        <v>0.58333333333333337</v>
      </c>
      <c r="I27" s="36" t="s">
        <v>50</v>
      </c>
      <c r="J27" s="36" t="s">
        <v>50</v>
      </c>
      <c r="K27" s="36" t="s">
        <v>50</v>
      </c>
      <c r="L27" s="40">
        <v>20</v>
      </c>
      <c r="M27" s="2"/>
      <c r="N27" s="2"/>
      <c r="O27" s="2"/>
    </row>
    <row r="28" spans="1:15">
      <c r="A28" s="4">
        <v>27</v>
      </c>
      <c r="B28" s="4" t="s">
        <v>22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2"/>
      <c r="N28" s="2"/>
      <c r="O28" s="2"/>
    </row>
    <row r="29" spans="1:15">
      <c r="A29">
        <v>28</v>
      </c>
      <c r="B29" t="s">
        <v>22</v>
      </c>
      <c r="C29" s="1">
        <v>46160</v>
      </c>
      <c r="D29" t="s">
        <v>20</v>
      </c>
      <c r="E29" s="1">
        <v>46160</v>
      </c>
      <c r="F29" s="2">
        <v>0.33333333333333331</v>
      </c>
      <c r="G29" s="2">
        <v>0.33202546296296298</v>
      </c>
      <c r="H29" s="2">
        <v>0.70833333333333337</v>
      </c>
      <c r="I29" s="2">
        <v>0.70931712962962967</v>
      </c>
      <c r="J29">
        <v>9</v>
      </c>
      <c r="K29">
        <v>9.0299999999999994</v>
      </c>
      <c r="L29">
        <v>21</v>
      </c>
      <c r="M29" s="2">
        <f>F29-G29</f>
        <v>1.3078703703703343E-3</v>
      </c>
      <c r="N29" s="2">
        <f t="shared" si="1"/>
        <v>9.8379629629630205E-4</v>
      </c>
      <c r="O29" s="2">
        <f t="shared" si="2"/>
        <v>3.2407407407403221E-4</v>
      </c>
    </row>
    <row r="30" spans="1:15">
      <c r="A30">
        <v>29</v>
      </c>
      <c r="B30" t="s">
        <v>22</v>
      </c>
      <c r="C30" s="1">
        <v>46161</v>
      </c>
      <c r="D30" t="s">
        <v>13</v>
      </c>
      <c r="E30" s="1">
        <v>46161</v>
      </c>
      <c r="F30" s="2">
        <v>0.375</v>
      </c>
      <c r="G30" s="2">
        <v>0.37568287037037035</v>
      </c>
      <c r="H30" s="2">
        <v>0.75</v>
      </c>
      <c r="I30" s="2">
        <v>0.75540509259259259</v>
      </c>
      <c r="J30">
        <v>9</v>
      </c>
      <c r="K30">
        <v>9.06</v>
      </c>
      <c r="L30">
        <v>21</v>
      </c>
      <c r="M30" s="2">
        <f t="shared" si="0"/>
        <v>6.8287037037034759E-4</v>
      </c>
      <c r="N30" s="2">
        <f t="shared" si="1"/>
        <v>5.4050925925925863E-3</v>
      </c>
      <c r="O30" s="2">
        <f>I30-H30</f>
        <v>5.4050925925925863E-3</v>
      </c>
    </row>
    <row r="31" spans="1:15">
      <c r="A31">
        <v>30</v>
      </c>
      <c r="B31" t="s">
        <v>22</v>
      </c>
      <c r="C31" s="1">
        <v>46162</v>
      </c>
      <c r="D31" t="s">
        <v>15</v>
      </c>
      <c r="E31" s="1">
        <v>46162</v>
      </c>
      <c r="F31" s="2">
        <v>0.375</v>
      </c>
      <c r="G31" s="2">
        <v>0.38119212962962962</v>
      </c>
      <c r="H31" s="2">
        <v>0.75</v>
      </c>
      <c r="I31" s="2">
        <v>0.75583333333333336</v>
      </c>
      <c r="J31">
        <v>9</v>
      </c>
      <c r="K31">
        <v>8.59</v>
      </c>
      <c r="L31">
        <v>21</v>
      </c>
      <c r="M31" s="2">
        <f t="shared" si="0"/>
        <v>6.1921296296296169E-3</v>
      </c>
      <c r="N31" s="2">
        <f t="shared" si="1"/>
        <v>5.833333333333357E-3</v>
      </c>
      <c r="O31" s="2">
        <f t="shared" si="2"/>
        <v>3.5879629629625986E-4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13">
        <f>SUM(M2:M31)</f>
        <v>0.12809027777777782</v>
      </c>
      <c r="N32" s="18">
        <f>SUM(N2:N31)</f>
        <v>0.20335648148148144</v>
      </c>
      <c r="O32" s="2"/>
    </row>
    <row r="33" spans="3:13">
      <c r="L33" t="s">
        <v>33</v>
      </c>
      <c r="M33" s="18">
        <f>N32-M32</f>
        <v>7.5266203703703627E-2</v>
      </c>
    </row>
    <row r="34" spans="3:13">
      <c r="L34" t="s">
        <v>45</v>
      </c>
      <c r="M34" s="22" t="s">
        <v>54</v>
      </c>
    </row>
    <row r="37" spans="3:13">
      <c r="C37" s="20" t="s">
        <v>34</v>
      </c>
      <c r="D37" s="21"/>
      <c r="E37" s="21"/>
      <c r="F37" s="21"/>
      <c r="G37" s="21"/>
      <c r="H37" s="21"/>
    </row>
    <row r="38" spans="3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3">
      <c r="C39" s="21" t="s">
        <v>36</v>
      </c>
      <c r="D39" s="21">
        <f>SUM(J2:J6)</f>
        <v>41</v>
      </c>
      <c r="E39" s="21">
        <f>SUM(J8:J13)</f>
        <v>41</v>
      </c>
      <c r="F39" s="21">
        <f>SUM(J15:J20)</f>
        <v>18</v>
      </c>
      <c r="G39" s="21">
        <f>SUM(J22:J27)</f>
        <v>36</v>
      </c>
      <c r="H39" s="21">
        <f>SUM(J29:J31)</f>
        <v>27</v>
      </c>
    </row>
    <row r="40" spans="3:13">
      <c r="C40" s="21" t="s">
        <v>37</v>
      </c>
      <c r="D40" s="21">
        <f>SUM(K2:K6)</f>
        <v>40.72</v>
      </c>
      <c r="E40" s="21">
        <f>SUM(K8:K13)</f>
        <v>40.08</v>
      </c>
      <c r="F40" s="21">
        <f>SUM(K15:K20)</f>
        <v>18</v>
      </c>
      <c r="G40" s="21">
        <f>SUM(K22:K27)</f>
        <v>35.25</v>
      </c>
      <c r="H40" s="21">
        <f>SUM(K29:K31)</f>
        <v>26.68</v>
      </c>
    </row>
    <row r="41" spans="3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3">
      <c r="C42" s="20" t="s">
        <v>40</v>
      </c>
      <c r="D42" s="21">
        <f>SUM(J2:J11)</f>
        <v>68</v>
      </c>
      <c r="E42" s="21">
        <f>SUM(J12:J31)</f>
        <v>95</v>
      </c>
      <c r="F42" s="21">
        <f>SUM(D42:E42)</f>
        <v>163</v>
      </c>
      <c r="G42" s="24"/>
      <c r="H42" s="24"/>
      <c r="J42" s="28"/>
      <c r="K42" s="24" t="s">
        <v>44</v>
      </c>
    </row>
    <row r="43" spans="3:13">
      <c r="C43" s="20" t="s">
        <v>41</v>
      </c>
      <c r="D43" s="21">
        <f>SUM(K2:K11)</f>
        <v>67.11</v>
      </c>
      <c r="E43" s="21">
        <f>SUM(K12:K31)</f>
        <v>93.62</v>
      </c>
      <c r="F43" s="21">
        <f>SUM(D43:E43)</f>
        <v>160.73000000000002</v>
      </c>
      <c r="G43" s="24"/>
      <c r="H43" s="24"/>
      <c r="J43" s="29"/>
      <c r="K43" s="24" t="s">
        <v>47</v>
      </c>
    </row>
    <row r="44" spans="3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3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3:13">
      <c r="C46" s="21" t="s">
        <v>43</v>
      </c>
      <c r="D46" s="21"/>
      <c r="E46" s="21">
        <v>25</v>
      </c>
      <c r="F46" s="24"/>
      <c r="G46" s="24"/>
      <c r="H46" s="24"/>
      <c r="J46" s="32"/>
      <c r="K46" s="24" t="s">
        <v>49</v>
      </c>
    </row>
    <row r="47" spans="3:13">
      <c r="C47" s="21" t="s">
        <v>44</v>
      </c>
      <c r="D47" s="21"/>
      <c r="E47" s="21">
        <v>5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7"/>
  <sheetViews>
    <sheetView topLeftCell="A25" workbookViewId="0">
      <selection activeCell="J41" sqref="J41"/>
    </sheetView>
  </sheetViews>
  <sheetFormatPr defaultRowHeight="15"/>
  <cols>
    <col min="3" max="3" width="9.7109375" bestFit="1" customWidth="1"/>
    <col min="5" max="5" width="9.7109375" bestFit="1" customWidth="1"/>
    <col min="15" max="15" width="12.710937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10</v>
      </c>
      <c r="N1" s="7" t="s">
        <v>11</v>
      </c>
      <c r="O1" s="3" t="s">
        <v>29</v>
      </c>
    </row>
    <row r="2" spans="1:15">
      <c r="A2">
        <v>1</v>
      </c>
      <c r="B2" t="s">
        <v>23</v>
      </c>
      <c r="C2" s="1">
        <v>46133</v>
      </c>
      <c r="D2" t="s">
        <v>13</v>
      </c>
      <c r="E2" s="1">
        <v>46133</v>
      </c>
      <c r="F2" s="2">
        <v>0.375</v>
      </c>
      <c r="G2" s="2">
        <v>0.39127314814814818</v>
      </c>
      <c r="H2" s="2">
        <v>0.75</v>
      </c>
      <c r="I2" s="2">
        <v>0.76197916666666665</v>
      </c>
      <c r="J2">
        <v>9</v>
      </c>
      <c r="K2">
        <v>8.5299999999999994</v>
      </c>
      <c r="L2">
        <v>17</v>
      </c>
      <c r="M2" s="2">
        <f>G2-F2</f>
        <v>1.6273148148148175E-2</v>
      </c>
      <c r="N2" s="2">
        <f>I2-H2</f>
        <v>1.1979166666666652E-2</v>
      </c>
      <c r="O2" s="2">
        <f>M2-N2</f>
        <v>4.2939814814815236E-3</v>
      </c>
    </row>
    <row r="3" spans="1:15">
      <c r="A3">
        <v>2</v>
      </c>
      <c r="B3" t="s">
        <v>23</v>
      </c>
      <c r="C3" s="1">
        <v>46134</v>
      </c>
      <c r="D3" t="s">
        <v>15</v>
      </c>
      <c r="E3" s="1">
        <v>46134</v>
      </c>
      <c r="F3" s="2">
        <v>0.375</v>
      </c>
      <c r="G3" s="2">
        <v>0.40520833333333334</v>
      </c>
      <c r="H3" s="2">
        <v>0.75</v>
      </c>
      <c r="I3" s="2">
        <v>0.76530092592592591</v>
      </c>
      <c r="J3">
        <v>9</v>
      </c>
      <c r="K3">
        <v>8.3800000000000008</v>
      </c>
      <c r="L3">
        <v>17</v>
      </c>
      <c r="M3" s="2">
        <f t="shared" ref="M3:M32" si="0">G3-F3</f>
        <v>3.0208333333333337E-2</v>
      </c>
      <c r="N3" s="2">
        <f t="shared" ref="N3:N20" si="1">I3-H3</f>
        <v>1.5300925925925912E-2</v>
      </c>
      <c r="O3" s="2">
        <f t="shared" ref="O3:O31" si="2">M3-N3</f>
        <v>1.4907407407407425E-2</v>
      </c>
    </row>
    <row r="4" spans="1:15">
      <c r="A4">
        <v>3</v>
      </c>
      <c r="B4" t="s">
        <v>23</v>
      </c>
      <c r="C4" s="1">
        <v>46135</v>
      </c>
      <c r="D4" t="s">
        <v>16</v>
      </c>
      <c r="E4" s="1">
        <v>46135</v>
      </c>
      <c r="F4" s="2">
        <v>0.375</v>
      </c>
      <c r="G4" s="2">
        <v>0.40837962962962965</v>
      </c>
      <c r="H4" s="2">
        <v>0.75</v>
      </c>
      <c r="I4" s="2">
        <v>0.75516203703703699</v>
      </c>
      <c r="J4">
        <v>9</v>
      </c>
      <c r="K4">
        <v>8.19</v>
      </c>
      <c r="L4">
        <v>17</v>
      </c>
      <c r="M4" s="2">
        <f t="shared" si="0"/>
        <v>3.3379629629629648E-2</v>
      </c>
      <c r="N4" s="2">
        <f t="shared" si="1"/>
        <v>5.1620370370369928E-3</v>
      </c>
      <c r="O4" s="2">
        <f t="shared" si="2"/>
        <v>2.8217592592592655E-2</v>
      </c>
    </row>
    <row r="5" spans="1:15">
      <c r="A5" s="37">
        <v>4</v>
      </c>
      <c r="B5" s="37" t="s">
        <v>23</v>
      </c>
      <c r="C5" s="38">
        <v>46136</v>
      </c>
      <c r="D5" s="37" t="s">
        <v>17</v>
      </c>
      <c r="E5" s="38">
        <v>46136</v>
      </c>
      <c r="F5" s="39">
        <v>0.375</v>
      </c>
      <c r="G5" s="39" t="s">
        <v>14</v>
      </c>
      <c r="H5" s="39">
        <v>0.75</v>
      </c>
      <c r="I5" s="39" t="s">
        <v>14</v>
      </c>
      <c r="J5" s="37" t="s">
        <v>14</v>
      </c>
      <c r="K5" s="37" t="s">
        <v>14</v>
      </c>
      <c r="L5" s="37">
        <v>17</v>
      </c>
      <c r="M5" s="2"/>
      <c r="O5" s="2"/>
    </row>
    <row r="6" spans="1:15">
      <c r="A6">
        <v>5</v>
      </c>
      <c r="B6" t="s">
        <v>23</v>
      </c>
      <c r="C6" s="1">
        <v>46137</v>
      </c>
      <c r="D6" t="s">
        <v>18</v>
      </c>
      <c r="E6" s="1">
        <v>46137</v>
      </c>
      <c r="F6" s="2">
        <v>0.375</v>
      </c>
      <c r="G6" s="2">
        <v>0.40271990740740743</v>
      </c>
      <c r="H6" s="2">
        <v>0.58333333333333337</v>
      </c>
      <c r="I6" s="2">
        <v>0.61329861111111106</v>
      </c>
      <c r="J6">
        <v>5</v>
      </c>
      <c r="K6">
        <v>5.03</v>
      </c>
      <c r="L6">
        <v>17</v>
      </c>
      <c r="M6" s="2">
        <f t="shared" si="0"/>
        <v>2.7719907407407429E-2</v>
      </c>
      <c r="N6" s="2">
        <f t="shared" si="1"/>
        <v>2.9965277777777688E-2</v>
      </c>
      <c r="O6" s="2">
        <f>N6-M6</f>
        <v>2.2453703703702588E-3</v>
      </c>
    </row>
    <row r="7" spans="1:15">
      <c r="A7" s="4">
        <v>6</v>
      </c>
      <c r="B7" s="4" t="s">
        <v>23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10"/>
      <c r="O7" s="2"/>
    </row>
    <row r="8" spans="1:15">
      <c r="A8">
        <v>7</v>
      </c>
      <c r="B8" t="s">
        <v>23</v>
      </c>
      <c r="C8" s="1">
        <v>46139</v>
      </c>
      <c r="D8" t="s">
        <v>20</v>
      </c>
      <c r="E8" s="1">
        <v>46139</v>
      </c>
      <c r="F8" s="2">
        <v>0.375</v>
      </c>
      <c r="G8" s="2">
        <v>0.3909259259259259</v>
      </c>
      <c r="H8" s="2">
        <v>0.75</v>
      </c>
      <c r="I8" s="2">
        <v>0.75976851851851857</v>
      </c>
      <c r="J8">
        <v>9</v>
      </c>
      <c r="K8">
        <v>8.52</v>
      </c>
      <c r="L8">
        <v>18</v>
      </c>
      <c r="M8" s="2">
        <f t="shared" si="0"/>
        <v>1.5925925925925899E-2</v>
      </c>
      <c r="N8" s="2">
        <f t="shared" si="1"/>
        <v>9.7685185185185652E-3</v>
      </c>
      <c r="O8" s="2">
        <f t="shared" si="2"/>
        <v>6.1574074074073337E-3</v>
      </c>
    </row>
    <row r="9" spans="1:15">
      <c r="A9" s="37">
        <v>8</v>
      </c>
      <c r="B9" s="37" t="s">
        <v>23</v>
      </c>
      <c r="C9" s="38">
        <v>46140</v>
      </c>
      <c r="D9" s="37" t="s">
        <v>13</v>
      </c>
      <c r="E9" s="38">
        <v>46140</v>
      </c>
      <c r="F9" s="39">
        <v>0.375</v>
      </c>
      <c r="G9" s="39" t="s">
        <v>14</v>
      </c>
      <c r="H9" s="39">
        <v>0.75</v>
      </c>
      <c r="I9" s="39" t="s">
        <v>14</v>
      </c>
      <c r="J9" s="37" t="s">
        <v>14</v>
      </c>
      <c r="K9" s="37" t="s">
        <v>14</v>
      </c>
      <c r="L9" s="37">
        <v>18</v>
      </c>
      <c r="M9" s="2"/>
      <c r="O9" s="2"/>
    </row>
    <row r="10" spans="1:15">
      <c r="A10">
        <v>9</v>
      </c>
      <c r="B10" t="s">
        <v>23</v>
      </c>
      <c r="C10" s="1">
        <v>46141</v>
      </c>
      <c r="D10" t="s">
        <v>15</v>
      </c>
      <c r="E10" s="1">
        <v>46141</v>
      </c>
      <c r="F10" s="2">
        <v>0.375</v>
      </c>
      <c r="G10" s="2">
        <v>0.40143518518518517</v>
      </c>
      <c r="H10" s="2">
        <v>0.75</v>
      </c>
      <c r="I10" s="2">
        <v>0.75453703703703701</v>
      </c>
      <c r="J10">
        <v>9</v>
      </c>
      <c r="K10">
        <v>8.2799999999999994</v>
      </c>
      <c r="L10">
        <v>18</v>
      </c>
      <c r="M10" s="2">
        <f t="shared" si="0"/>
        <v>2.6435185185185173E-2</v>
      </c>
      <c r="N10" s="2">
        <f t="shared" si="1"/>
        <v>4.5370370370370061E-3</v>
      </c>
      <c r="O10" s="2">
        <f t="shared" si="2"/>
        <v>2.1898148148148167E-2</v>
      </c>
    </row>
    <row r="11" spans="1:15">
      <c r="A11">
        <v>10</v>
      </c>
      <c r="B11" t="s">
        <v>23</v>
      </c>
      <c r="C11" s="1">
        <v>46142</v>
      </c>
      <c r="D11" t="s">
        <v>16</v>
      </c>
      <c r="E11" s="1">
        <v>46142</v>
      </c>
      <c r="F11" s="2">
        <v>0.375</v>
      </c>
      <c r="G11" s="2">
        <v>0.40467592592592594</v>
      </c>
      <c r="H11" s="2">
        <v>0.75</v>
      </c>
      <c r="I11" s="2">
        <v>0.77015046296296297</v>
      </c>
      <c r="J11">
        <v>9</v>
      </c>
      <c r="K11">
        <v>8.4600000000000009</v>
      </c>
      <c r="L11">
        <v>18</v>
      </c>
      <c r="M11" s="2">
        <f t="shared" si="0"/>
        <v>2.9675925925925939E-2</v>
      </c>
      <c r="N11" s="2">
        <f t="shared" si="1"/>
        <v>2.0150462962962967E-2</v>
      </c>
      <c r="O11" s="2">
        <f t="shared" si="2"/>
        <v>9.5254629629629717E-3</v>
      </c>
    </row>
    <row r="12" spans="1:15">
      <c r="A12">
        <v>11</v>
      </c>
      <c r="B12" t="s">
        <v>23</v>
      </c>
      <c r="C12" s="1">
        <v>46143</v>
      </c>
      <c r="D12" t="s">
        <v>17</v>
      </c>
      <c r="E12" s="1">
        <v>46143</v>
      </c>
      <c r="F12" s="2">
        <v>0.375</v>
      </c>
      <c r="G12" s="2">
        <v>0.39787037037037037</v>
      </c>
      <c r="H12" s="2">
        <v>0.75</v>
      </c>
      <c r="I12" s="2">
        <v>0.7584143518518518</v>
      </c>
      <c r="J12">
        <v>9</v>
      </c>
      <c r="K12">
        <v>8.39</v>
      </c>
      <c r="L12">
        <v>18</v>
      </c>
      <c r="M12" s="2">
        <f t="shared" si="0"/>
        <v>2.2870370370370374E-2</v>
      </c>
      <c r="N12" s="2">
        <f t="shared" si="1"/>
        <v>8.4143518518517979E-3</v>
      </c>
      <c r="O12" s="2">
        <f t="shared" si="2"/>
        <v>1.4456018518518576E-2</v>
      </c>
    </row>
    <row r="13" spans="1:15">
      <c r="A13">
        <v>12</v>
      </c>
      <c r="B13" t="s">
        <v>23</v>
      </c>
      <c r="C13" s="1">
        <v>46144</v>
      </c>
      <c r="D13" t="s">
        <v>18</v>
      </c>
      <c r="E13" s="1">
        <v>46144</v>
      </c>
      <c r="F13" s="2">
        <v>0.375</v>
      </c>
      <c r="G13" s="2">
        <v>0.60140046296296301</v>
      </c>
      <c r="H13" s="2">
        <v>0.58333333333333337</v>
      </c>
      <c r="I13" s="2">
        <v>0.60140046296296301</v>
      </c>
      <c r="J13">
        <v>5</v>
      </c>
      <c r="K13">
        <v>0</v>
      </c>
      <c r="L13">
        <v>18</v>
      </c>
      <c r="M13" s="2">
        <f t="shared" si="0"/>
        <v>0.22640046296296301</v>
      </c>
      <c r="N13" s="2">
        <f t="shared" si="1"/>
        <v>1.8067129629629641E-2</v>
      </c>
      <c r="O13" s="2">
        <f t="shared" si="2"/>
        <v>0.20833333333333337</v>
      </c>
    </row>
    <row r="14" spans="1:15">
      <c r="A14" s="4">
        <v>13</v>
      </c>
      <c r="B14" s="4" t="s">
        <v>23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10"/>
      <c r="O14" s="2"/>
    </row>
    <row r="15" spans="1:15">
      <c r="A15">
        <v>14</v>
      </c>
      <c r="B15" t="s">
        <v>23</v>
      </c>
      <c r="C15" s="1">
        <v>46146</v>
      </c>
      <c r="D15" t="s">
        <v>20</v>
      </c>
      <c r="E15" s="1">
        <v>46146</v>
      </c>
      <c r="F15" s="2">
        <v>0.375</v>
      </c>
      <c r="G15" s="2">
        <v>0.39907407407407408</v>
      </c>
      <c r="H15" s="2">
        <v>0.75</v>
      </c>
      <c r="I15" s="2">
        <v>0.75930555555555557</v>
      </c>
      <c r="J15">
        <v>9</v>
      </c>
      <c r="K15">
        <v>8.3800000000000008</v>
      </c>
      <c r="L15">
        <v>19</v>
      </c>
      <c r="M15" s="2">
        <f t="shared" si="0"/>
        <v>2.4074074074074081E-2</v>
      </c>
      <c r="N15" s="2">
        <f t="shared" si="1"/>
        <v>9.3055555555555669E-3</v>
      </c>
      <c r="O15" s="2">
        <f t="shared" si="2"/>
        <v>1.4768518518518514E-2</v>
      </c>
    </row>
    <row r="16" spans="1:15">
      <c r="A16">
        <v>15</v>
      </c>
      <c r="B16" t="s">
        <v>23</v>
      </c>
      <c r="C16" s="1">
        <v>46147</v>
      </c>
      <c r="D16" t="s">
        <v>13</v>
      </c>
      <c r="E16" s="1">
        <v>46147</v>
      </c>
      <c r="F16" s="2">
        <v>0.375</v>
      </c>
      <c r="G16" s="2">
        <v>0.40359953703703705</v>
      </c>
      <c r="H16" s="2">
        <v>0.75</v>
      </c>
      <c r="I16" s="2">
        <v>0.76085648148148144</v>
      </c>
      <c r="J16">
        <v>9</v>
      </c>
      <c r="K16">
        <v>8.34</v>
      </c>
      <c r="L16">
        <v>19</v>
      </c>
      <c r="M16" s="2">
        <f t="shared" si="0"/>
        <v>2.8599537037037048E-2</v>
      </c>
      <c r="N16" s="2">
        <f t="shared" si="1"/>
        <v>1.0856481481481439E-2</v>
      </c>
      <c r="O16" s="2">
        <f t="shared" si="2"/>
        <v>1.7743055555555609E-2</v>
      </c>
    </row>
    <row r="17" spans="1:15">
      <c r="A17" s="37">
        <v>16</v>
      </c>
      <c r="B17" s="37" t="s">
        <v>23</v>
      </c>
      <c r="C17" s="38">
        <v>46148</v>
      </c>
      <c r="D17" s="37" t="s">
        <v>15</v>
      </c>
      <c r="E17" s="38">
        <v>46148</v>
      </c>
      <c r="F17" s="39">
        <v>0.375</v>
      </c>
      <c r="G17" s="39" t="s">
        <v>14</v>
      </c>
      <c r="H17" s="39">
        <v>0.75</v>
      </c>
      <c r="I17" s="39" t="s">
        <v>14</v>
      </c>
      <c r="J17" s="37" t="s">
        <v>14</v>
      </c>
      <c r="K17" s="37" t="s">
        <v>14</v>
      </c>
      <c r="L17" s="37">
        <v>19</v>
      </c>
      <c r="M17" s="2"/>
      <c r="O17" s="2"/>
    </row>
    <row r="18" spans="1:15">
      <c r="A18">
        <v>17</v>
      </c>
      <c r="B18" t="s">
        <v>23</v>
      </c>
      <c r="C18" s="1">
        <v>46149</v>
      </c>
      <c r="D18" t="s">
        <v>16</v>
      </c>
      <c r="E18" s="1">
        <v>46149</v>
      </c>
      <c r="F18" s="2">
        <v>0.375</v>
      </c>
      <c r="G18" s="2">
        <v>0.39945601851851853</v>
      </c>
      <c r="H18" s="2">
        <v>0.75</v>
      </c>
      <c r="I18" s="2">
        <v>0.76135416666666667</v>
      </c>
      <c r="J18">
        <v>9</v>
      </c>
      <c r="K18">
        <v>8.41</v>
      </c>
      <c r="L18">
        <v>19</v>
      </c>
      <c r="M18" s="2">
        <f t="shared" si="0"/>
        <v>2.445601851851853E-2</v>
      </c>
      <c r="N18" s="2">
        <f t="shared" si="1"/>
        <v>1.1354166666666665E-2</v>
      </c>
      <c r="O18" s="2">
        <f t="shared" si="2"/>
        <v>1.3101851851851865E-2</v>
      </c>
    </row>
    <row r="19" spans="1:15">
      <c r="A19">
        <v>18</v>
      </c>
      <c r="B19" t="s">
        <v>23</v>
      </c>
      <c r="C19" s="1">
        <v>46150</v>
      </c>
      <c r="D19" t="s">
        <v>17</v>
      </c>
      <c r="E19" s="1">
        <v>46150</v>
      </c>
      <c r="F19" s="2">
        <v>0.375</v>
      </c>
      <c r="G19" s="2">
        <v>0.39467592592592593</v>
      </c>
      <c r="H19" s="2">
        <v>0.75</v>
      </c>
      <c r="I19" s="2">
        <v>0.75438657407407406</v>
      </c>
      <c r="J19">
        <v>9</v>
      </c>
      <c r="K19">
        <v>8.3699999999999992</v>
      </c>
      <c r="L19">
        <v>19</v>
      </c>
      <c r="M19" s="2">
        <f t="shared" si="0"/>
        <v>1.967592592592593E-2</v>
      </c>
      <c r="N19" s="2">
        <f t="shared" si="1"/>
        <v>4.3865740740740566E-3</v>
      </c>
      <c r="O19" s="2">
        <f t="shared" si="2"/>
        <v>1.5289351851851873E-2</v>
      </c>
    </row>
    <row r="20" spans="1:15">
      <c r="A20">
        <v>19</v>
      </c>
      <c r="B20" t="s">
        <v>23</v>
      </c>
      <c r="C20" s="1">
        <v>46151</v>
      </c>
      <c r="D20" t="s">
        <v>18</v>
      </c>
      <c r="E20" s="1">
        <v>46151</v>
      </c>
      <c r="F20" s="2">
        <v>0.375</v>
      </c>
      <c r="G20" s="2">
        <v>0.39932870370370371</v>
      </c>
      <c r="H20" s="2">
        <v>0.58333333333333337</v>
      </c>
      <c r="I20" s="2">
        <v>0.60280092592592593</v>
      </c>
      <c r="J20">
        <v>5</v>
      </c>
      <c r="K20">
        <v>4.53</v>
      </c>
      <c r="L20">
        <v>19</v>
      </c>
      <c r="M20" s="2">
        <f t="shared" si="0"/>
        <v>2.4328703703703713E-2</v>
      </c>
      <c r="N20" s="2">
        <f t="shared" si="1"/>
        <v>1.9467592592592564E-2</v>
      </c>
      <c r="O20" s="2">
        <f t="shared" si="2"/>
        <v>4.8611111111111494E-3</v>
      </c>
    </row>
    <row r="21" spans="1:15">
      <c r="A21" s="4">
        <v>20</v>
      </c>
      <c r="B21" s="4" t="s">
        <v>23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10"/>
      <c r="O21" s="2"/>
    </row>
    <row r="22" spans="1:15">
      <c r="A22" s="48">
        <v>21</v>
      </c>
      <c r="B22" s="48" t="s">
        <v>23</v>
      </c>
      <c r="C22" s="49">
        <v>46153</v>
      </c>
      <c r="D22" s="48" t="s">
        <v>20</v>
      </c>
      <c r="E22" s="49">
        <v>46153</v>
      </c>
      <c r="F22" s="18">
        <v>0.375</v>
      </c>
      <c r="G22" s="18" t="s">
        <v>14</v>
      </c>
      <c r="H22" s="18">
        <v>0.75</v>
      </c>
      <c r="I22" s="18" t="s">
        <v>47</v>
      </c>
      <c r="J22" s="48" t="s">
        <v>47</v>
      </c>
      <c r="K22" s="48" t="s">
        <v>47</v>
      </c>
      <c r="L22" s="48">
        <v>20</v>
      </c>
      <c r="M22" s="2"/>
      <c r="O22" s="2"/>
    </row>
    <row r="23" spans="1:15">
      <c r="A23">
        <v>22</v>
      </c>
      <c r="B23" t="s">
        <v>23</v>
      </c>
      <c r="C23" s="1">
        <v>46154</v>
      </c>
      <c r="D23" t="s">
        <v>13</v>
      </c>
      <c r="E23" s="1">
        <v>46154</v>
      </c>
      <c r="F23" s="2">
        <v>0.375</v>
      </c>
      <c r="G23" s="2">
        <v>0.38901620370370371</v>
      </c>
      <c r="H23" s="2">
        <v>0.75</v>
      </c>
      <c r="I23" s="2">
        <v>0.75776620370370373</v>
      </c>
      <c r="J23">
        <v>9</v>
      </c>
      <c r="K23">
        <v>8.51</v>
      </c>
      <c r="L23">
        <v>20</v>
      </c>
      <c r="M23" s="2">
        <f t="shared" si="0"/>
        <v>1.4016203703703711E-2</v>
      </c>
      <c r="N23" s="2">
        <f t="shared" ref="N23:N27" si="3">I23-H23</f>
        <v>7.7662037037037335E-3</v>
      </c>
      <c r="O23" s="2">
        <f t="shared" si="2"/>
        <v>6.2499999999999778E-3</v>
      </c>
    </row>
    <row r="24" spans="1:15">
      <c r="A24">
        <v>23</v>
      </c>
      <c r="B24" t="s">
        <v>23</v>
      </c>
      <c r="C24" s="1">
        <v>46155</v>
      </c>
      <c r="D24" t="s">
        <v>15</v>
      </c>
      <c r="E24" s="1">
        <v>46155</v>
      </c>
      <c r="F24" s="2">
        <v>0.375</v>
      </c>
      <c r="G24" s="2">
        <v>0.39473379629629629</v>
      </c>
      <c r="H24" s="2">
        <v>0.75</v>
      </c>
      <c r="I24" s="2">
        <v>0.76045138888888886</v>
      </c>
      <c r="J24">
        <v>9</v>
      </c>
      <c r="K24">
        <v>8.4600000000000009</v>
      </c>
      <c r="L24">
        <v>20</v>
      </c>
      <c r="M24" s="2">
        <f t="shared" si="0"/>
        <v>1.9733796296296291E-2</v>
      </c>
      <c r="N24" s="2">
        <f t="shared" si="3"/>
        <v>1.0451388888888857E-2</v>
      </c>
      <c r="O24" s="2">
        <f t="shared" si="2"/>
        <v>9.2824074074074336E-3</v>
      </c>
    </row>
    <row r="25" spans="1:15">
      <c r="A25">
        <v>24</v>
      </c>
      <c r="B25" t="s">
        <v>23</v>
      </c>
      <c r="C25" s="1">
        <v>46156</v>
      </c>
      <c r="D25" t="s">
        <v>16</v>
      </c>
      <c r="E25" s="1">
        <v>46156</v>
      </c>
      <c r="F25" s="2">
        <v>0.375</v>
      </c>
      <c r="G25" s="2">
        <v>0.3981365740740741</v>
      </c>
      <c r="H25" s="2">
        <v>0.75</v>
      </c>
      <c r="I25" s="2">
        <v>0.75505787037037042</v>
      </c>
      <c r="J25">
        <v>9</v>
      </c>
      <c r="K25">
        <v>8.33</v>
      </c>
      <c r="L25">
        <v>20</v>
      </c>
      <c r="M25" s="2">
        <f t="shared" si="0"/>
        <v>2.3136574074074101E-2</v>
      </c>
      <c r="N25" s="2">
        <f t="shared" si="3"/>
        <v>5.0578703703704209E-3</v>
      </c>
      <c r="O25" s="2">
        <f t="shared" si="2"/>
        <v>1.807870370370368E-2</v>
      </c>
    </row>
    <row r="26" spans="1:15">
      <c r="A26">
        <v>25</v>
      </c>
      <c r="B26" t="s">
        <v>23</v>
      </c>
      <c r="C26" s="1">
        <v>46157</v>
      </c>
      <c r="D26" t="s">
        <v>17</v>
      </c>
      <c r="E26" s="1">
        <v>46157</v>
      </c>
      <c r="F26" s="2">
        <v>0.375</v>
      </c>
      <c r="G26" s="2">
        <v>0.39708333333333334</v>
      </c>
      <c r="H26" s="2">
        <v>0.75</v>
      </c>
      <c r="I26" s="2">
        <v>0.75726851851851851</v>
      </c>
      <c r="J26">
        <v>9</v>
      </c>
      <c r="K26">
        <v>8.3800000000000008</v>
      </c>
      <c r="L26">
        <v>20</v>
      </c>
      <c r="M26" s="2">
        <f t="shared" si="0"/>
        <v>2.2083333333333344E-2</v>
      </c>
      <c r="N26" s="2">
        <f t="shared" si="3"/>
        <v>7.2685185185185075E-3</v>
      </c>
      <c r="O26" s="2">
        <f t="shared" si="2"/>
        <v>1.4814814814814836E-2</v>
      </c>
    </row>
    <row r="27" spans="1:15">
      <c r="A27">
        <v>26</v>
      </c>
      <c r="B27" t="s">
        <v>23</v>
      </c>
      <c r="C27" s="1">
        <v>46158</v>
      </c>
      <c r="D27" t="s">
        <v>18</v>
      </c>
      <c r="E27" s="1">
        <v>46158</v>
      </c>
      <c r="F27" s="2">
        <v>0.375</v>
      </c>
      <c r="G27" s="2">
        <v>0.39381944444444444</v>
      </c>
      <c r="H27" s="2">
        <v>0.58333333333333337</v>
      </c>
      <c r="I27" s="2">
        <v>0.59415509259259258</v>
      </c>
      <c r="J27">
        <v>5</v>
      </c>
      <c r="K27">
        <v>4.4800000000000004</v>
      </c>
      <c r="L27">
        <v>20</v>
      </c>
      <c r="M27" s="2">
        <f t="shared" si="0"/>
        <v>1.8819444444444444E-2</v>
      </c>
      <c r="N27" s="2">
        <f t="shared" si="3"/>
        <v>1.0821759259259212E-2</v>
      </c>
      <c r="O27" s="2">
        <f t="shared" si="2"/>
        <v>7.9976851851852326E-3</v>
      </c>
    </row>
    <row r="28" spans="1:15">
      <c r="A28" s="4">
        <v>27</v>
      </c>
      <c r="B28" s="4" t="s">
        <v>23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10"/>
      <c r="O28" s="2"/>
    </row>
    <row r="29" spans="1:15">
      <c r="A29" s="46">
        <v>28</v>
      </c>
      <c r="B29" s="46" t="s">
        <v>23</v>
      </c>
      <c r="C29" s="47">
        <v>46160</v>
      </c>
      <c r="D29" s="46" t="s">
        <v>20</v>
      </c>
      <c r="E29" s="47">
        <v>46160</v>
      </c>
      <c r="F29" s="17">
        <v>0.375</v>
      </c>
      <c r="G29" s="17" t="s">
        <v>14</v>
      </c>
      <c r="H29" s="17">
        <v>0.75</v>
      </c>
      <c r="I29" s="17" t="s">
        <v>56</v>
      </c>
      <c r="J29" s="17" t="s">
        <v>56</v>
      </c>
      <c r="K29" s="17" t="s">
        <v>56</v>
      </c>
      <c r="L29" s="46">
        <v>21</v>
      </c>
      <c r="M29" s="2"/>
      <c r="O29" s="2"/>
    </row>
    <row r="30" spans="1:15">
      <c r="A30">
        <v>29</v>
      </c>
      <c r="B30" t="s">
        <v>23</v>
      </c>
      <c r="C30" s="1">
        <v>46161</v>
      </c>
      <c r="D30" t="s">
        <v>13</v>
      </c>
      <c r="E30" s="1">
        <v>46161</v>
      </c>
      <c r="F30" s="2">
        <v>0.375</v>
      </c>
      <c r="G30" s="2">
        <v>0.39707175925925925</v>
      </c>
      <c r="H30" s="2">
        <v>0.75</v>
      </c>
      <c r="I30" s="2">
        <v>0.76192129629629635</v>
      </c>
      <c r="J30">
        <v>9</v>
      </c>
      <c r="K30">
        <v>8.4499999999999993</v>
      </c>
      <c r="L30">
        <v>21</v>
      </c>
      <c r="M30" s="2">
        <f t="shared" si="0"/>
        <v>2.2071759259259249E-2</v>
      </c>
      <c r="N30" s="2">
        <f t="shared" ref="N30:N31" si="4">I30-H30</f>
        <v>1.1921296296296346E-2</v>
      </c>
      <c r="O30" s="2">
        <f t="shared" si="2"/>
        <v>1.0150462962962903E-2</v>
      </c>
    </row>
    <row r="31" spans="1:15">
      <c r="A31">
        <v>30</v>
      </c>
      <c r="B31" t="s">
        <v>23</v>
      </c>
      <c r="C31" s="1">
        <v>46162</v>
      </c>
      <c r="D31" t="s">
        <v>15</v>
      </c>
      <c r="E31" s="1">
        <v>46162</v>
      </c>
      <c r="F31" s="2">
        <v>0.375</v>
      </c>
      <c r="G31" s="2">
        <v>0.39521990740740742</v>
      </c>
      <c r="H31" s="2">
        <v>0.75</v>
      </c>
      <c r="I31" s="2">
        <v>0.76153935185185184</v>
      </c>
      <c r="J31">
        <v>9</v>
      </c>
      <c r="K31">
        <v>8.4700000000000006</v>
      </c>
      <c r="L31">
        <v>21</v>
      </c>
      <c r="M31" s="2">
        <f t="shared" si="0"/>
        <v>2.0219907407407423E-2</v>
      </c>
      <c r="N31" s="2">
        <f t="shared" si="4"/>
        <v>1.1539351851851842E-2</v>
      </c>
      <c r="O31" s="2">
        <f t="shared" si="2"/>
        <v>8.6805555555555802E-3</v>
      </c>
    </row>
    <row r="32" spans="1:15">
      <c r="C32" s="1"/>
      <c r="E32" s="1"/>
      <c r="F32" s="2"/>
      <c r="G32" s="2"/>
      <c r="H32" s="2"/>
      <c r="I32" s="2"/>
      <c r="M32" s="2"/>
    </row>
    <row r="33" spans="3:14">
      <c r="L33" t="s">
        <v>32</v>
      </c>
      <c r="M33" s="39">
        <f>SUM(M2:M32)</f>
        <v>0.69010416666666674</v>
      </c>
      <c r="N33" s="18">
        <f>SUM(N2:N31)</f>
        <v>0.24354166666666643</v>
      </c>
    </row>
    <row r="34" spans="3:14">
      <c r="L34" t="s">
        <v>52</v>
      </c>
      <c r="M34" s="39">
        <f>M33-N33</f>
        <v>0.44656250000000031</v>
      </c>
    </row>
    <row r="35" spans="3:14">
      <c r="L35" t="s">
        <v>45</v>
      </c>
      <c r="M35" t="s">
        <v>53</v>
      </c>
    </row>
    <row r="37" spans="3:14">
      <c r="C37" s="20" t="s">
        <v>34</v>
      </c>
      <c r="D37" s="21"/>
      <c r="E37" s="21"/>
      <c r="F37" s="21"/>
      <c r="G37" s="21"/>
      <c r="H37" s="21"/>
    </row>
    <row r="38" spans="3:14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4">
      <c r="C39" s="21" t="s">
        <v>36</v>
      </c>
      <c r="D39" s="21">
        <f>SUM(J2:J6)</f>
        <v>32</v>
      </c>
      <c r="E39" s="21">
        <f>SUM(J8:J13)</f>
        <v>41</v>
      </c>
      <c r="F39" s="21">
        <f>SUM(J15:J20)</f>
        <v>41</v>
      </c>
      <c r="G39" s="21">
        <f>SUM(J22:J27)</f>
        <v>41</v>
      </c>
      <c r="H39" s="21">
        <f>SUM(J29:J31)</f>
        <v>18</v>
      </c>
    </row>
    <row r="40" spans="3:14">
      <c r="C40" s="21" t="s">
        <v>37</v>
      </c>
      <c r="D40" s="21">
        <f>SUM(K2:K6)</f>
        <v>30.130000000000003</v>
      </c>
      <c r="E40" s="21">
        <f>SUM(K8:K13)</f>
        <v>33.65</v>
      </c>
      <c r="F40" s="21">
        <f>SUM(K15:K20)</f>
        <v>38.03</v>
      </c>
      <c r="G40" s="21">
        <f>SUM(K22:K27)</f>
        <v>38.159999999999997</v>
      </c>
      <c r="H40" s="21">
        <f>SUM(K29:K31)</f>
        <v>16.920000000000002</v>
      </c>
    </row>
    <row r="41" spans="3:14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4">
      <c r="C42" s="20" t="s">
        <v>40</v>
      </c>
      <c r="D42" s="21">
        <f>SUM(J2:J11)</f>
        <v>59</v>
      </c>
      <c r="E42" s="21">
        <f>SUM(J12:J31)</f>
        <v>114</v>
      </c>
      <c r="F42" s="21">
        <f>SUM(D42:E42)</f>
        <v>173</v>
      </c>
      <c r="G42" s="24"/>
      <c r="H42" s="24"/>
      <c r="J42" s="28"/>
      <c r="K42" s="24" t="s">
        <v>44</v>
      </c>
    </row>
    <row r="43" spans="3:14">
      <c r="C43" s="20" t="s">
        <v>41</v>
      </c>
      <c r="D43" s="21">
        <f>SUM(K2:K11)</f>
        <v>55.390000000000008</v>
      </c>
      <c r="E43" s="21">
        <f>SUM(K12:K31)</f>
        <v>101.5</v>
      </c>
      <c r="F43" s="21">
        <f>SUM(D43:E43)</f>
        <v>156.89000000000001</v>
      </c>
      <c r="G43" s="24"/>
      <c r="H43" s="24"/>
      <c r="J43" s="29"/>
      <c r="K43" s="24" t="s">
        <v>47</v>
      </c>
    </row>
    <row r="44" spans="3:14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4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3:14">
      <c r="C46" s="21" t="s">
        <v>43</v>
      </c>
      <c r="D46" s="21"/>
      <c r="E46" s="21">
        <v>27</v>
      </c>
      <c r="F46" s="24"/>
      <c r="G46" s="24"/>
      <c r="H46" s="24"/>
      <c r="J46" s="32"/>
      <c r="K46" s="24" t="s">
        <v>49</v>
      </c>
    </row>
    <row r="47" spans="3:14">
      <c r="C47" s="21" t="s">
        <v>44</v>
      </c>
      <c r="D47" s="21"/>
      <c r="E47" s="21">
        <v>3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7"/>
  <sheetViews>
    <sheetView topLeftCell="C25" workbookViewId="0">
      <selection activeCell="O35" sqref="O35"/>
    </sheetView>
  </sheetViews>
  <sheetFormatPr defaultRowHeight="15"/>
  <cols>
    <col min="3" max="3" width="12.5703125" customWidth="1"/>
    <col min="5" max="5" width="9.7109375" bestFit="1" customWidth="1"/>
    <col min="13" max="13" width="18" customWidth="1"/>
    <col min="14" max="14" width="13.42578125" customWidth="1"/>
    <col min="15" max="15" width="14.2851562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>
        <v>1</v>
      </c>
      <c r="B2" t="s">
        <v>24</v>
      </c>
      <c r="C2" s="1">
        <v>46133</v>
      </c>
      <c r="D2" t="s">
        <v>13</v>
      </c>
      <c r="E2" s="1">
        <v>46133</v>
      </c>
      <c r="F2" s="2">
        <v>0.375</v>
      </c>
      <c r="G2" s="2">
        <v>0.38586805555555553</v>
      </c>
      <c r="H2" s="2">
        <v>0.75</v>
      </c>
      <c r="I2" s="2">
        <v>0.77307870370370368</v>
      </c>
      <c r="J2">
        <v>9</v>
      </c>
      <c r="K2">
        <v>9.17</v>
      </c>
      <c r="L2">
        <v>17</v>
      </c>
      <c r="M2" s="2">
        <f>G2-F2</f>
        <v>1.0868055555555534E-2</v>
      </c>
      <c r="N2" s="2">
        <f>I2-H2</f>
        <v>2.3078703703703685E-2</v>
      </c>
      <c r="O2" s="2">
        <f>N2-M2</f>
        <v>1.2210648148148151E-2</v>
      </c>
    </row>
    <row r="3" spans="1:15">
      <c r="A3">
        <v>2</v>
      </c>
      <c r="B3" t="s">
        <v>24</v>
      </c>
      <c r="C3" s="1">
        <v>46134</v>
      </c>
      <c r="D3" t="s">
        <v>15</v>
      </c>
      <c r="E3" s="1">
        <v>46134</v>
      </c>
      <c r="F3" s="2">
        <v>0.375</v>
      </c>
      <c r="G3" s="2">
        <v>0.39436342592592594</v>
      </c>
      <c r="H3" s="2">
        <v>0.75</v>
      </c>
      <c r="I3" s="2">
        <v>0.7930787037037037</v>
      </c>
      <c r="J3">
        <v>9</v>
      </c>
      <c r="K3">
        <v>9.34</v>
      </c>
      <c r="L3">
        <v>17</v>
      </c>
      <c r="M3" s="2">
        <f t="shared" ref="M3:M31" si="0">G3-F3</f>
        <v>1.9363425925925937E-2</v>
      </c>
      <c r="N3" s="2">
        <f t="shared" ref="N3:N31" si="1">I3-H3</f>
        <v>4.3078703703703702E-2</v>
      </c>
      <c r="O3" s="2">
        <f t="shared" ref="O3:O31" si="2">N3-M3</f>
        <v>2.3715277777777766E-2</v>
      </c>
    </row>
    <row r="4" spans="1:15">
      <c r="A4">
        <v>3</v>
      </c>
      <c r="B4" t="s">
        <v>24</v>
      </c>
      <c r="C4" s="1">
        <v>46135</v>
      </c>
      <c r="D4" t="s">
        <v>16</v>
      </c>
      <c r="E4" s="1">
        <v>46135</v>
      </c>
      <c r="F4" s="2">
        <v>0.375</v>
      </c>
      <c r="G4" s="2">
        <v>0.39999999999999997</v>
      </c>
      <c r="H4" s="2">
        <v>0.75</v>
      </c>
      <c r="I4" s="2">
        <v>0.76180555555555562</v>
      </c>
      <c r="J4">
        <v>9</v>
      </c>
      <c r="K4">
        <v>9.41</v>
      </c>
      <c r="L4">
        <v>17</v>
      </c>
      <c r="M4" s="2">
        <f t="shared" si="0"/>
        <v>2.4999999999999967E-2</v>
      </c>
      <c r="N4" s="2">
        <f t="shared" si="1"/>
        <v>1.1805555555555625E-2</v>
      </c>
      <c r="O4" s="2">
        <f>M4-N4</f>
        <v>1.3194444444444342E-2</v>
      </c>
    </row>
    <row r="5" spans="1:15">
      <c r="A5">
        <v>4</v>
      </c>
      <c r="B5" t="s">
        <v>24</v>
      </c>
      <c r="C5" s="1">
        <v>46136</v>
      </c>
      <c r="D5" t="s">
        <v>17</v>
      </c>
      <c r="E5" s="1">
        <v>46136</v>
      </c>
      <c r="F5" s="2">
        <v>0.375</v>
      </c>
      <c r="G5" s="2">
        <v>0.37222222222222223</v>
      </c>
      <c r="H5" s="2">
        <v>0.75</v>
      </c>
      <c r="I5" s="2">
        <v>0.76874999999999993</v>
      </c>
      <c r="J5">
        <v>9</v>
      </c>
      <c r="K5">
        <v>9.31</v>
      </c>
      <c r="L5">
        <v>17</v>
      </c>
      <c r="M5" s="2">
        <f>F5-G5</f>
        <v>2.7777777777777679E-3</v>
      </c>
      <c r="N5" s="2">
        <f t="shared" si="1"/>
        <v>1.8749999999999933E-2</v>
      </c>
      <c r="O5" s="2">
        <f t="shared" si="2"/>
        <v>1.5972222222222165E-2</v>
      </c>
    </row>
    <row r="6" spans="1:15">
      <c r="A6">
        <v>5</v>
      </c>
      <c r="B6" t="s">
        <v>24</v>
      </c>
      <c r="C6" s="1">
        <v>46137</v>
      </c>
      <c r="D6" t="s">
        <v>18</v>
      </c>
      <c r="E6" s="1">
        <v>46137</v>
      </c>
      <c r="F6" s="2">
        <v>0.375</v>
      </c>
      <c r="G6" s="2">
        <v>0.3900925925925926</v>
      </c>
      <c r="H6" s="2">
        <v>0.58333333333333337</v>
      </c>
      <c r="I6" s="2">
        <v>0.62689814814814815</v>
      </c>
      <c r="J6">
        <v>5</v>
      </c>
      <c r="K6">
        <v>5.41</v>
      </c>
      <c r="L6">
        <v>17</v>
      </c>
      <c r="M6" s="2">
        <f t="shared" si="0"/>
        <v>1.5092592592592602E-2</v>
      </c>
      <c r="N6" s="2">
        <f t="shared" si="1"/>
        <v>4.3564814814814778E-2</v>
      </c>
      <c r="O6" s="2">
        <f t="shared" si="2"/>
        <v>2.8472222222222177E-2</v>
      </c>
    </row>
    <row r="7" spans="1:15">
      <c r="A7" s="4">
        <v>6</v>
      </c>
      <c r="B7" s="4" t="s">
        <v>24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2"/>
      <c r="N7" s="2"/>
      <c r="O7" s="2"/>
    </row>
    <row r="8" spans="1:15">
      <c r="A8">
        <v>7</v>
      </c>
      <c r="B8" t="s">
        <v>24</v>
      </c>
      <c r="C8" s="1">
        <v>46139</v>
      </c>
      <c r="D8" t="s">
        <v>20</v>
      </c>
      <c r="E8" s="1">
        <v>46139</v>
      </c>
      <c r="F8" s="2">
        <v>0.375</v>
      </c>
      <c r="G8" s="2">
        <v>0.37638888888888888</v>
      </c>
      <c r="H8" s="2">
        <v>0.75</v>
      </c>
      <c r="I8" s="2">
        <v>0.75902777777777775</v>
      </c>
      <c r="J8">
        <v>9</v>
      </c>
      <c r="K8">
        <v>9.11</v>
      </c>
      <c r="L8">
        <v>18</v>
      </c>
      <c r="M8" s="2">
        <f t="shared" si="0"/>
        <v>1.388888888888884E-3</v>
      </c>
      <c r="N8" s="2">
        <f t="shared" si="1"/>
        <v>9.0277777777777457E-3</v>
      </c>
      <c r="O8" s="2">
        <f t="shared" si="2"/>
        <v>7.6388888888888618E-3</v>
      </c>
    </row>
    <row r="9" spans="1:15">
      <c r="A9">
        <v>8</v>
      </c>
      <c r="B9" t="s">
        <v>24</v>
      </c>
      <c r="C9" s="1">
        <v>46140</v>
      </c>
      <c r="D9" t="s">
        <v>13</v>
      </c>
      <c r="E9" s="1">
        <v>46140</v>
      </c>
      <c r="F9" s="2">
        <v>0.375</v>
      </c>
      <c r="G9" s="2">
        <v>0.36805555555555558</v>
      </c>
      <c r="H9" s="2">
        <v>0.75</v>
      </c>
      <c r="I9" s="2">
        <v>0.76944444444444438</v>
      </c>
      <c r="J9">
        <v>9</v>
      </c>
      <c r="K9">
        <v>9.3800000000000008</v>
      </c>
      <c r="L9">
        <v>18</v>
      </c>
      <c r="M9" s="2">
        <f>F9-G9</f>
        <v>6.9444444444444198E-3</v>
      </c>
      <c r="N9" s="2">
        <f t="shared" si="1"/>
        <v>1.9444444444444375E-2</v>
      </c>
      <c r="O9" s="2">
        <f t="shared" si="2"/>
        <v>1.2499999999999956E-2</v>
      </c>
    </row>
    <row r="10" spans="1:15">
      <c r="A10">
        <v>9</v>
      </c>
      <c r="B10" t="s">
        <v>24</v>
      </c>
      <c r="C10" s="1">
        <v>46141</v>
      </c>
      <c r="D10" t="s">
        <v>15</v>
      </c>
      <c r="E10" s="1">
        <v>46141</v>
      </c>
      <c r="F10" s="2">
        <v>0.375</v>
      </c>
      <c r="G10" s="2">
        <v>0.38395833333333335</v>
      </c>
      <c r="H10" s="2">
        <v>0.75</v>
      </c>
      <c r="I10" s="2">
        <v>0.77910879629629626</v>
      </c>
      <c r="J10">
        <v>9</v>
      </c>
      <c r="K10">
        <v>9.2899999999999991</v>
      </c>
      <c r="L10">
        <v>18</v>
      </c>
      <c r="M10" s="2">
        <f t="shared" si="0"/>
        <v>8.9583333333333459E-3</v>
      </c>
      <c r="N10" s="2">
        <f t="shared" si="1"/>
        <v>2.9108796296296258E-2</v>
      </c>
      <c r="O10" s="2">
        <f t="shared" si="2"/>
        <v>2.0150462962962912E-2</v>
      </c>
    </row>
    <row r="11" spans="1:15">
      <c r="A11" s="50">
        <v>10</v>
      </c>
      <c r="B11" s="50" t="s">
        <v>24</v>
      </c>
      <c r="C11" s="51">
        <v>46142</v>
      </c>
      <c r="D11" s="50" t="s">
        <v>16</v>
      </c>
      <c r="E11" s="51">
        <v>46142</v>
      </c>
      <c r="F11" s="52">
        <v>0.375</v>
      </c>
      <c r="G11" s="52" t="s">
        <v>58</v>
      </c>
      <c r="H11" s="52">
        <v>0.75</v>
      </c>
      <c r="I11" s="52">
        <v>0.79062500000000002</v>
      </c>
      <c r="J11" s="50" t="s">
        <v>57</v>
      </c>
      <c r="K11" s="50" t="s">
        <v>57</v>
      </c>
      <c r="L11" s="50">
        <v>18</v>
      </c>
      <c r="M11" s="2"/>
      <c r="N11" s="2"/>
      <c r="O11" s="2"/>
    </row>
    <row r="12" spans="1:15">
      <c r="A12">
        <v>11</v>
      </c>
      <c r="B12" t="s">
        <v>24</v>
      </c>
      <c r="C12" s="1">
        <v>46143</v>
      </c>
      <c r="D12" t="s">
        <v>17</v>
      </c>
      <c r="E12" s="1">
        <v>46143</v>
      </c>
      <c r="F12" s="2">
        <v>0.375</v>
      </c>
      <c r="G12" s="2">
        <v>0.38843749999999999</v>
      </c>
      <c r="H12" s="2">
        <v>0.75</v>
      </c>
      <c r="I12" s="2">
        <v>0.78675925925925927</v>
      </c>
      <c r="J12">
        <v>9</v>
      </c>
      <c r="K12">
        <v>9.33</v>
      </c>
      <c r="L12">
        <v>18</v>
      </c>
      <c r="M12" s="2">
        <f t="shared" si="0"/>
        <v>1.3437499999999991E-2</v>
      </c>
      <c r="N12" s="2">
        <f t="shared" si="1"/>
        <v>3.6759259259259269E-2</v>
      </c>
      <c r="O12" s="2">
        <f t="shared" si="2"/>
        <v>2.3321759259259278E-2</v>
      </c>
    </row>
    <row r="13" spans="1:15">
      <c r="A13" s="46">
        <v>12</v>
      </c>
      <c r="B13" s="46" t="s">
        <v>24</v>
      </c>
      <c r="C13" s="47">
        <v>46144</v>
      </c>
      <c r="D13" s="46" t="s">
        <v>18</v>
      </c>
      <c r="E13" s="47">
        <v>46144</v>
      </c>
      <c r="F13" s="17">
        <v>0.375</v>
      </c>
      <c r="G13" s="17" t="s">
        <v>14</v>
      </c>
      <c r="H13" s="17">
        <v>0.58333333333333337</v>
      </c>
      <c r="I13" s="17" t="s">
        <v>59</v>
      </c>
      <c r="J13" s="17" t="s">
        <v>59</v>
      </c>
      <c r="K13" s="17" t="s">
        <v>59</v>
      </c>
      <c r="L13" s="46">
        <v>18</v>
      </c>
      <c r="M13" s="2"/>
      <c r="N13" s="2"/>
      <c r="O13" s="2"/>
    </row>
    <row r="14" spans="1:15">
      <c r="A14" s="4">
        <v>13</v>
      </c>
      <c r="B14" s="4" t="s">
        <v>24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2"/>
      <c r="N14" s="2"/>
      <c r="O14" s="2"/>
    </row>
    <row r="15" spans="1:15">
      <c r="A15">
        <v>14</v>
      </c>
      <c r="B15" t="s">
        <v>24</v>
      </c>
      <c r="C15" s="1">
        <v>46146</v>
      </c>
      <c r="D15" t="s">
        <v>20</v>
      </c>
      <c r="E15" s="1">
        <v>46146</v>
      </c>
      <c r="F15" s="2">
        <v>0.375</v>
      </c>
      <c r="G15" s="2">
        <v>0.37993055555555555</v>
      </c>
      <c r="H15" s="2">
        <v>0.75</v>
      </c>
      <c r="I15" s="2">
        <v>0.75486111111111109</v>
      </c>
      <c r="J15">
        <v>9</v>
      </c>
      <c r="K15">
        <v>9</v>
      </c>
      <c r="L15">
        <v>19</v>
      </c>
      <c r="M15" s="2">
        <f t="shared" si="0"/>
        <v>4.9305555555555491E-3</v>
      </c>
      <c r="N15" s="2">
        <f t="shared" si="1"/>
        <v>4.8611111111110938E-3</v>
      </c>
      <c r="O15" s="2">
        <f>M15-N15</f>
        <v>6.94444444444553E-5</v>
      </c>
    </row>
    <row r="16" spans="1:15">
      <c r="A16">
        <v>15</v>
      </c>
      <c r="B16" t="s">
        <v>24</v>
      </c>
      <c r="C16" s="1">
        <v>46147</v>
      </c>
      <c r="D16" t="s">
        <v>13</v>
      </c>
      <c r="E16" s="1">
        <v>46147</v>
      </c>
      <c r="F16" s="2">
        <v>0.375</v>
      </c>
      <c r="G16" s="2">
        <v>0.36249999999999999</v>
      </c>
      <c r="H16" s="2">
        <v>0.75</v>
      </c>
      <c r="I16" s="2">
        <v>0.77222222222222225</v>
      </c>
      <c r="J16">
        <v>9</v>
      </c>
      <c r="K16">
        <v>8.5</v>
      </c>
      <c r="L16">
        <v>19</v>
      </c>
      <c r="M16" s="2">
        <f>F16-G16</f>
        <v>1.2500000000000011E-2</v>
      </c>
      <c r="N16" s="2">
        <f t="shared" si="1"/>
        <v>2.2222222222222254E-2</v>
      </c>
      <c r="O16" s="2">
        <f t="shared" si="2"/>
        <v>9.7222222222222432E-3</v>
      </c>
    </row>
    <row r="17" spans="1:15">
      <c r="A17">
        <v>16</v>
      </c>
      <c r="B17" t="s">
        <v>24</v>
      </c>
      <c r="C17" s="1">
        <v>46148</v>
      </c>
      <c r="D17" t="s">
        <v>15</v>
      </c>
      <c r="E17" s="1">
        <v>46148</v>
      </c>
      <c r="F17" s="2">
        <v>0.375</v>
      </c>
      <c r="G17" s="2">
        <v>0.38194444444444442</v>
      </c>
      <c r="H17" s="2">
        <v>0.75</v>
      </c>
      <c r="I17" s="2">
        <v>0.76736111111111116</v>
      </c>
      <c r="J17">
        <v>9</v>
      </c>
      <c r="K17">
        <v>9.15</v>
      </c>
      <c r="L17">
        <v>19</v>
      </c>
      <c r="M17" s="2">
        <f t="shared" si="0"/>
        <v>6.9444444444444198E-3</v>
      </c>
      <c r="N17" s="2">
        <f t="shared" si="1"/>
        <v>1.736111111111116E-2</v>
      </c>
      <c r="O17" s="2">
        <f t="shared" si="2"/>
        <v>1.0416666666666741E-2</v>
      </c>
    </row>
    <row r="18" spans="1:15">
      <c r="A18">
        <v>17</v>
      </c>
      <c r="B18" t="s">
        <v>24</v>
      </c>
      <c r="C18" s="1">
        <v>46149</v>
      </c>
      <c r="D18" t="s">
        <v>16</v>
      </c>
      <c r="E18" s="1">
        <v>46149</v>
      </c>
      <c r="F18" s="2">
        <v>0.375</v>
      </c>
      <c r="G18" s="2">
        <v>0.37638888888888888</v>
      </c>
      <c r="H18" s="2">
        <v>0.75</v>
      </c>
      <c r="I18" s="2">
        <v>0.76666666666666661</v>
      </c>
      <c r="J18">
        <v>9</v>
      </c>
      <c r="K18">
        <v>9.2200000000000006</v>
      </c>
      <c r="L18">
        <v>19</v>
      </c>
      <c r="M18" s="2">
        <f t="shared" si="0"/>
        <v>1.388888888888884E-3</v>
      </c>
      <c r="N18" s="2">
        <f t="shared" si="1"/>
        <v>1.6666666666666607E-2</v>
      </c>
      <c r="O18" s="2">
        <f t="shared" si="2"/>
        <v>1.5277777777777724E-2</v>
      </c>
    </row>
    <row r="19" spans="1:15">
      <c r="A19">
        <v>18</v>
      </c>
      <c r="B19" t="s">
        <v>24</v>
      </c>
      <c r="C19" s="1">
        <v>46150</v>
      </c>
      <c r="D19" t="s">
        <v>17</v>
      </c>
      <c r="E19" s="1">
        <v>46150</v>
      </c>
      <c r="F19" s="2">
        <v>0.375</v>
      </c>
      <c r="G19" s="2">
        <v>0.39583333333333331</v>
      </c>
      <c r="H19" s="2">
        <v>0.75</v>
      </c>
      <c r="I19" s="2">
        <v>0.75694444444444453</v>
      </c>
      <c r="J19">
        <v>9</v>
      </c>
      <c r="K19">
        <v>9.1999999999999993</v>
      </c>
      <c r="L19">
        <v>19</v>
      </c>
      <c r="M19" s="2">
        <f t="shared" si="0"/>
        <v>2.0833333333333315E-2</v>
      </c>
      <c r="N19" s="2">
        <f t="shared" si="1"/>
        <v>6.9444444444445308E-3</v>
      </c>
      <c r="O19" s="2">
        <f t="shared" ref="O19:O22" si="3">M19-N19</f>
        <v>1.3888888888888784E-2</v>
      </c>
    </row>
    <row r="20" spans="1:15">
      <c r="A20">
        <v>19</v>
      </c>
      <c r="B20" t="s">
        <v>24</v>
      </c>
      <c r="C20" s="1">
        <v>46151</v>
      </c>
      <c r="D20" t="s">
        <v>18</v>
      </c>
      <c r="E20" s="1">
        <v>46151</v>
      </c>
      <c r="F20" s="2">
        <v>0.375</v>
      </c>
      <c r="G20" s="2">
        <v>0.44925925925925925</v>
      </c>
      <c r="H20" s="2">
        <v>0.58333333333333337</v>
      </c>
      <c r="I20" s="2">
        <v>0.62056712962962968</v>
      </c>
      <c r="J20">
        <v>5</v>
      </c>
      <c r="K20">
        <v>4.0599999999999996</v>
      </c>
      <c r="L20">
        <v>19</v>
      </c>
      <c r="M20" s="2">
        <f t="shared" si="0"/>
        <v>7.4259259259259247E-2</v>
      </c>
      <c r="N20" s="2">
        <f t="shared" si="1"/>
        <v>3.7233796296296306E-2</v>
      </c>
      <c r="O20" s="2">
        <f t="shared" si="3"/>
        <v>3.7025462962962941E-2</v>
      </c>
    </row>
    <row r="21" spans="1:15">
      <c r="A21" s="4">
        <v>20</v>
      </c>
      <c r="B21" s="4" t="s">
        <v>24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>
        <v>21</v>
      </c>
      <c r="B22" t="s">
        <v>24</v>
      </c>
      <c r="C22" s="1">
        <v>46153</v>
      </c>
      <c r="D22" t="s">
        <v>20</v>
      </c>
      <c r="E22" s="1">
        <v>46153</v>
      </c>
      <c r="F22" s="2">
        <v>0.375</v>
      </c>
      <c r="G22" s="2">
        <v>0.38541666666666669</v>
      </c>
      <c r="H22" s="2">
        <v>0.75</v>
      </c>
      <c r="I22" s="2">
        <v>0.76041666666666663</v>
      </c>
      <c r="J22">
        <v>9</v>
      </c>
      <c r="K22">
        <v>9</v>
      </c>
      <c r="L22">
        <v>20</v>
      </c>
      <c r="M22" s="2">
        <f t="shared" si="0"/>
        <v>1.0416666666666685E-2</v>
      </c>
      <c r="N22" s="2">
        <f t="shared" si="1"/>
        <v>1.041666666666663E-2</v>
      </c>
      <c r="O22" s="2">
        <f t="shared" si="3"/>
        <v>5.5511151231257827E-17</v>
      </c>
    </row>
    <row r="23" spans="1:15">
      <c r="A23">
        <v>22</v>
      </c>
      <c r="B23" t="s">
        <v>24</v>
      </c>
      <c r="C23" s="1">
        <v>46154</v>
      </c>
      <c r="D23" t="s">
        <v>13</v>
      </c>
      <c r="E23" s="1">
        <v>46154</v>
      </c>
      <c r="F23" s="2">
        <v>0.375</v>
      </c>
      <c r="G23" s="2">
        <v>0.38606481481481481</v>
      </c>
      <c r="H23" s="2">
        <v>0.75</v>
      </c>
      <c r="I23" s="2">
        <v>0.79333333333333333</v>
      </c>
      <c r="J23">
        <v>9</v>
      </c>
      <c r="K23">
        <v>9.4600000000000009</v>
      </c>
      <c r="L23">
        <v>20</v>
      </c>
      <c r="M23" s="2">
        <f t="shared" si="0"/>
        <v>1.1064814814814805E-2</v>
      </c>
      <c r="N23" s="2">
        <f t="shared" si="1"/>
        <v>4.3333333333333335E-2</v>
      </c>
      <c r="O23" s="2">
        <f t="shared" si="2"/>
        <v>3.226851851851853E-2</v>
      </c>
    </row>
    <row r="24" spans="1:15">
      <c r="A24">
        <v>23</v>
      </c>
      <c r="B24" t="s">
        <v>24</v>
      </c>
      <c r="C24" s="1">
        <v>46155</v>
      </c>
      <c r="D24" t="s">
        <v>15</v>
      </c>
      <c r="E24" s="1">
        <v>46155</v>
      </c>
      <c r="F24" s="2">
        <v>0.375</v>
      </c>
      <c r="G24" s="2">
        <v>0.375</v>
      </c>
      <c r="H24" s="2">
        <v>0.75</v>
      </c>
      <c r="I24" s="2">
        <v>0.77083333333333337</v>
      </c>
      <c r="J24">
        <v>9</v>
      </c>
      <c r="K24">
        <v>9.3000000000000007</v>
      </c>
      <c r="L24">
        <v>20</v>
      </c>
      <c r="M24" s="2">
        <f t="shared" si="0"/>
        <v>0</v>
      </c>
      <c r="N24" s="2">
        <f t="shared" si="1"/>
        <v>2.083333333333337E-2</v>
      </c>
      <c r="O24" s="2">
        <f t="shared" si="2"/>
        <v>2.083333333333337E-2</v>
      </c>
    </row>
    <row r="25" spans="1:15">
      <c r="A25">
        <v>24</v>
      </c>
      <c r="B25" t="s">
        <v>24</v>
      </c>
      <c r="C25" s="1">
        <v>46156</v>
      </c>
      <c r="D25" t="s">
        <v>16</v>
      </c>
      <c r="E25" s="1">
        <v>46156</v>
      </c>
      <c r="F25" s="2">
        <v>0.375</v>
      </c>
      <c r="G25" s="2">
        <v>0.39045138888888886</v>
      </c>
      <c r="H25" s="2">
        <v>0.75</v>
      </c>
      <c r="I25" s="2">
        <v>0.880462962962963</v>
      </c>
      <c r="J25">
        <v>9</v>
      </c>
      <c r="K25">
        <v>11.45</v>
      </c>
      <c r="L25">
        <v>20</v>
      </c>
      <c r="M25" s="2">
        <f t="shared" si="0"/>
        <v>1.5451388888888862E-2</v>
      </c>
      <c r="N25" s="2">
        <f t="shared" si="1"/>
        <v>0.130462962962963</v>
      </c>
      <c r="O25" s="2">
        <f t="shared" si="2"/>
        <v>0.11501157407407414</v>
      </c>
    </row>
    <row r="26" spans="1:15">
      <c r="A26">
        <v>25</v>
      </c>
      <c r="B26" t="s">
        <v>24</v>
      </c>
      <c r="C26" s="1">
        <v>46157</v>
      </c>
      <c r="D26" t="s">
        <v>17</v>
      </c>
      <c r="E26" s="1">
        <v>46157</v>
      </c>
      <c r="F26" s="2">
        <v>0.375</v>
      </c>
      <c r="G26" s="2">
        <v>0.40166666666666667</v>
      </c>
      <c r="H26" s="2">
        <v>0.75</v>
      </c>
      <c r="I26" s="2">
        <v>0.78494212962962961</v>
      </c>
      <c r="J26">
        <v>9</v>
      </c>
      <c r="K26">
        <v>9.11</v>
      </c>
      <c r="L26">
        <v>20</v>
      </c>
      <c r="M26" s="2">
        <f t="shared" si="0"/>
        <v>2.6666666666666672E-2</v>
      </c>
      <c r="N26" s="2">
        <f t="shared" si="1"/>
        <v>3.4942129629629615E-2</v>
      </c>
      <c r="O26" s="2">
        <f t="shared" si="2"/>
        <v>8.2754629629629428E-3</v>
      </c>
    </row>
    <row r="27" spans="1:15">
      <c r="A27">
        <v>26</v>
      </c>
      <c r="B27" t="s">
        <v>24</v>
      </c>
      <c r="C27" s="1">
        <v>46158</v>
      </c>
      <c r="D27" t="s">
        <v>18</v>
      </c>
      <c r="E27" s="1">
        <v>46158</v>
      </c>
      <c r="F27" s="2">
        <v>0.375</v>
      </c>
      <c r="G27" s="2">
        <v>0.39157407407407407</v>
      </c>
      <c r="H27" s="2">
        <v>0.58333333333333337</v>
      </c>
      <c r="I27" s="2">
        <v>0.61197916666666663</v>
      </c>
      <c r="J27">
        <v>5</v>
      </c>
      <c r="K27">
        <v>5.17</v>
      </c>
      <c r="L27">
        <v>20</v>
      </c>
      <c r="M27" s="2">
        <f t="shared" si="0"/>
        <v>1.6574074074074074E-2</v>
      </c>
      <c r="N27" s="2">
        <f t="shared" si="1"/>
        <v>2.8645833333333259E-2</v>
      </c>
      <c r="O27" s="2">
        <f t="shared" si="2"/>
        <v>1.2071759259259185E-2</v>
      </c>
    </row>
    <row r="28" spans="1:15">
      <c r="A28" s="4">
        <v>27</v>
      </c>
      <c r="B28" s="4" t="s">
        <v>24</v>
      </c>
      <c r="C28" s="5">
        <v>46159</v>
      </c>
      <c r="D28" s="4" t="s">
        <v>19</v>
      </c>
      <c r="E28" s="5">
        <v>46159</v>
      </c>
      <c r="F28" s="6">
        <v>0.375</v>
      </c>
      <c r="G28" s="6">
        <v>0.55163194444444441</v>
      </c>
      <c r="H28" s="6">
        <v>0.75</v>
      </c>
      <c r="I28" s="6">
        <v>0.79821759259259262</v>
      </c>
      <c r="J28" s="4">
        <v>9</v>
      </c>
      <c r="K28" s="4">
        <v>5.55</v>
      </c>
      <c r="L28" s="4">
        <v>21</v>
      </c>
      <c r="M28" s="2">
        <f t="shared" si="0"/>
        <v>0.17663194444444441</v>
      </c>
      <c r="N28" s="2">
        <f t="shared" si="1"/>
        <v>4.8217592592592617E-2</v>
      </c>
      <c r="O28" s="2">
        <f t="shared" ref="O28:O30" si="4">M28-N28</f>
        <v>0.12841435185185179</v>
      </c>
    </row>
    <row r="29" spans="1:15">
      <c r="A29">
        <v>28</v>
      </c>
      <c r="B29" t="s">
        <v>24</v>
      </c>
      <c r="C29" s="1">
        <v>46160</v>
      </c>
      <c r="D29" t="s">
        <v>20</v>
      </c>
      <c r="E29" s="1">
        <v>46160</v>
      </c>
      <c r="F29" s="2">
        <v>0.375</v>
      </c>
      <c r="G29" s="2">
        <v>0.36458333333333331</v>
      </c>
      <c r="H29" s="2">
        <v>0.75</v>
      </c>
      <c r="I29" s="2">
        <v>0.75</v>
      </c>
      <c r="J29">
        <v>9</v>
      </c>
      <c r="K29">
        <v>9.15</v>
      </c>
      <c r="L29">
        <v>21</v>
      </c>
      <c r="M29" s="2">
        <f>F29-G29</f>
        <v>1.0416666666666685E-2</v>
      </c>
      <c r="N29" s="2">
        <f t="shared" si="1"/>
        <v>0</v>
      </c>
      <c r="O29" s="2">
        <f t="shared" si="4"/>
        <v>1.0416666666666685E-2</v>
      </c>
    </row>
    <row r="30" spans="1:15">
      <c r="A30">
        <v>29</v>
      </c>
      <c r="B30" t="s">
        <v>24</v>
      </c>
      <c r="C30" s="1">
        <v>46161</v>
      </c>
      <c r="D30" t="s">
        <v>13</v>
      </c>
      <c r="E30" s="1">
        <v>46161</v>
      </c>
      <c r="F30" s="2">
        <v>0.375</v>
      </c>
      <c r="G30" s="2">
        <v>0.37847222222222227</v>
      </c>
      <c r="H30" s="2">
        <v>0.75</v>
      </c>
      <c r="I30" s="2">
        <v>0.75347222222222221</v>
      </c>
      <c r="J30">
        <v>9</v>
      </c>
      <c r="K30">
        <v>9</v>
      </c>
      <c r="L30">
        <v>21</v>
      </c>
      <c r="M30" s="2">
        <f t="shared" si="0"/>
        <v>3.4722222222222654E-3</v>
      </c>
      <c r="N30" s="2">
        <f t="shared" si="1"/>
        <v>3.4722222222222099E-3</v>
      </c>
      <c r="O30" s="2">
        <f t="shared" si="4"/>
        <v>5.5511151231257827E-17</v>
      </c>
    </row>
    <row r="31" spans="1:15">
      <c r="A31" s="46">
        <v>30</v>
      </c>
      <c r="B31" s="46" t="s">
        <v>24</v>
      </c>
      <c r="C31" s="47">
        <v>46162</v>
      </c>
      <c r="D31" s="46" t="s">
        <v>15</v>
      </c>
      <c r="E31" s="47">
        <v>46162</v>
      </c>
      <c r="F31" s="17">
        <v>0.375</v>
      </c>
      <c r="G31" s="17" t="s">
        <v>14</v>
      </c>
      <c r="H31" s="17">
        <v>0.75</v>
      </c>
      <c r="I31" s="17" t="s">
        <v>60</v>
      </c>
      <c r="J31" s="17" t="s">
        <v>60</v>
      </c>
      <c r="K31" s="17" t="s">
        <v>60</v>
      </c>
      <c r="L31" s="46">
        <v>21</v>
      </c>
      <c r="M31" s="2"/>
      <c r="N31" s="2"/>
      <c r="O31" s="2"/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SUM(M2:M4,M6:M15,M17:M28,M30)</f>
        <v>0.46968749999999987</v>
      </c>
      <c r="N32" s="16">
        <f>SUM(N2:N30)</f>
        <v>0.66023148148148136</v>
      </c>
    </row>
    <row r="33" spans="1:13">
      <c r="A33" s="53" t="s">
        <v>61</v>
      </c>
      <c r="B33" s="53" t="s">
        <v>62</v>
      </c>
      <c r="L33" t="s">
        <v>33</v>
      </c>
      <c r="M33" s="18">
        <f>N32-M32</f>
        <v>0.19054398148148149</v>
      </c>
    </row>
    <row r="34" spans="1:13">
      <c r="L34" t="s">
        <v>45</v>
      </c>
      <c r="M34" t="s">
        <v>63</v>
      </c>
    </row>
    <row r="37" spans="1:13">
      <c r="C37" s="20" t="s">
        <v>34</v>
      </c>
      <c r="D37" s="21"/>
      <c r="E37" s="21"/>
      <c r="F37" s="21"/>
      <c r="G37" s="21"/>
      <c r="H37" s="21"/>
    </row>
    <row r="38" spans="1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1:13">
      <c r="C39" s="21" t="s">
        <v>36</v>
      </c>
      <c r="D39" s="21">
        <f>SUM(J2:J6)</f>
        <v>41</v>
      </c>
      <c r="E39" s="21">
        <f>SUM(J8:J13)</f>
        <v>36</v>
      </c>
      <c r="F39" s="21">
        <f>SUM(J15:J20)</f>
        <v>50</v>
      </c>
      <c r="G39" s="21">
        <f>SUM(J22:J27)</f>
        <v>50</v>
      </c>
      <c r="H39" s="21">
        <f>SUM(J29:J31)</f>
        <v>18</v>
      </c>
    </row>
    <row r="40" spans="1:13">
      <c r="C40" s="21" t="s">
        <v>37</v>
      </c>
      <c r="D40" s="21">
        <f>SUM(K2:K6)</f>
        <v>42.64</v>
      </c>
      <c r="E40" s="21">
        <f>SUM(K8:K13)</f>
        <v>37.11</v>
      </c>
      <c r="F40" s="21">
        <f>SUM(K15:K20)</f>
        <v>49.129999999999995</v>
      </c>
      <c r="G40" s="21">
        <f>SUM(K22:K27)</f>
        <v>53.49</v>
      </c>
      <c r="H40" s="21">
        <f>SUM(K29:K31)</f>
        <v>18.149999999999999</v>
      </c>
    </row>
    <row r="41" spans="1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1:13">
      <c r="C42" s="20" t="s">
        <v>40</v>
      </c>
      <c r="D42" s="21">
        <f>SUM(J2:J11)</f>
        <v>68</v>
      </c>
      <c r="E42" s="21">
        <f>SUM(J12:J31)</f>
        <v>136</v>
      </c>
      <c r="F42" s="21">
        <f>SUM(D42:E42)</f>
        <v>204</v>
      </c>
      <c r="G42" s="24"/>
      <c r="H42" s="24"/>
      <c r="J42" s="28"/>
      <c r="K42" s="24" t="s">
        <v>44</v>
      </c>
    </row>
    <row r="43" spans="1:13">
      <c r="C43" s="20" t="s">
        <v>41</v>
      </c>
      <c r="D43" s="21">
        <f>SUM(K2:K11)</f>
        <v>70.42</v>
      </c>
      <c r="E43" s="21">
        <f>SUM(K12:K31)</f>
        <v>135.64999999999998</v>
      </c>
      <c r="F43" s="21">
        <f>SUM(D43:E43)</f>
        <v>206.07</v>
      </c>
      <c r="G43" s="24"/>
      <c r="H43" s="24"/>
      <c r="J43" s="29"/>
      <c r="K43" s="24" t="s">
        <v>47</v>
      </c>
    </row>
    <row r="44" spans="1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1:13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1:13">
      <c r="C46" s="21" t="s">
        <v>43</v>
      </c>
      <c r="D46" s="21"/>
      <c r="E46" s="21">
        <v>30</v>
      </c>
      <c r="F46" s="24"/>
      <c r="G46" s="24"/>
      <c r="H46" s="24"/>
      <c r="J46" s="32"/>
      <c r="K46" s="24" t="s">
        <v>49</v>
      </c>
    </row>
    <row r="47" spans="1:13">
      <c r="C47" s="21" t="s">
        <v>44</v>
      </c>
      <c r="D47" s="21"/>
      <c r="E47" s="21">
        <v>0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"/>
  <sheetViews>
    <sheetView topLeftCell="A25" workbookViewId="0">
      <selection activeCell="M2" sqref="M2:O2"/>
    </sheetView>
  </sheetViews>
  <sheetFormatPr defaultRowHeight="15"/>
  <cols>
    <col min="3" max="3" width="10.85546875" customWidth="1"/>
    <col min="5" max="5" width="10.710937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>
        <v>1</v>
      </c>
      <c r="B2" t="s">
        <v>25</v>
      </c>
      <c r="C2" s="1">
        <v>46133</v>
      </c>
      <c r="D2" t="s">
        <v>13</v>
      </c>
      <c r="E2" s="1">
        <v>46133</v>
      </c>
      <c r="F2" s="2">
        <v>0.375</v>
      </c>
      <c r="G2" s="2">
        <v>0.37256944444444445</v>
      </c>
      <c r="H2" s="2">
        <v>0.75</v>
      </c>
      <c r="I2" s="2">
        <v>0.75292824074074072</v>
      </c>
      <c r="J2">
        <v>9</v>
      </c>
      <c r="K2">
        <v>9.07</v>
      </c>
      <c r="L2">
        <v>17</v>
      </c>
      <c r="M2" s="2">
        <f>F2-G2</f>
        <v>2.4305555555555469E-3</v>
      </c>
      <c r="N2" s="2">
        <f>I2-H2</f>
        <v>2.9282407407407174E-3</v>
      </c>
      <c r="O2" s="2">
        <f>N2-M2</f>
        <v>4.9768518518517046E-4</v>
      </c>
    </row>
    <row r="3" spans="1:15">
      <c r="A3" s="37">
        <v>2</v>
      </c>
      <c r="B3" s="37" t="s">
        <v>25</v>
      </c>
      <c r="C3" s="38">
        <v>46134</v>
      </c>
      <c r="D3" s="37" t="s">
        <v>15</v>
      </c>
      <c r="E3" s="38">
        <v>46134</v>
      </c>
      <c r="F3" s="39">
        <v>0.375</v>
      </c>
      <c r="G3" s="39" t="s">
        <v>14</v>
      </c>
      <c r="H3" s="39">
        <v>0.75</v>
      </c>
      <c r="I3" s="39" t="s">
        <v>14</v>
      </c>
      <c r="J3" s="37" t="s">
        <v>14</v>
      </c>
      <c r="K3" s="37" t="s">
        <v>14</v>
      </c>
      <c r="L3" s="37">
        <v>17</v>
      </c>
      <c r="M3" s="2"/>
      <c r="N3" s="2"/>
      <c r="O3" s="2"/>
    </row>
    <row r="4" spans="1:15">
      <c r="A4">
        <v>3</v>
      </c>
      <c r="B4" t="s">
        <v>25</v>
      </c>
      <c r="C4" s="1">
        <v>46135</v>
      </c>
      <c r="D4" t="s">
        <v>16</v>
      </c>
      <c r="E4" s="1">
        <v>46135</v>
      </c>
      <c r="F4" s="2">
        <v>0.375</v>
      </c>
      <c r="G4" s="2">
        <v>0.36888888888888888</v>
      </c>
      <c r="H4" s="2">
        <v>0.75</v>
      </c>
      <c r="I4" s="2">
        <v>0.75148148148148153</v>
      </c>
      <c r="J4">
        <v>9</v>
      </c>
      <c r="K4">
        <v>9.1</v>
      </c>
      <c r="L4">
        <v>17</v>
      </c>
      <c r="M4" s="2">
        <f t="shared" ref="M3:M32" si="0">F4-G4</f>
        <v>6.1111111111111227E-3</v>
      </c>
      <c r="N4" s="2">
        <f t="shared" ref="N3:N32" si="1">I4-H4</f>
        <v>1.481481481481528E-3</v>
      </c>
      <c r="O4" s="2">
        <f>M4-N4</f>
        <v>4.6296296296295947E-3</v>
      </c>
    </row>
    <row r="5" spans="1:15">
      <c r="A5">
        <v>4</v>
      </c>
      <c r="B5" t="s">
        <v>25</v>
      </c>
      <c r="C5" s="1">
        <v>46136</v>
      </c>
      <c r="D5" t="s">
        <v>17</v>
      </c>
      <c r="E5" s="1">
        <v>46136</v>
      </c>
      <c r="F5" s="2">
        <v>0.375</v>
      </c>
      <c r="G5" s="2">
        <v>0.37269675925925927</v>
      </c>
      <c r="H5" s="2">
        <v>0.75</v>
      </c>
      <c r="I5" s="2">
        <v>0.71469907407407407</v>
      </c>
      <c r="J5">
        <v>9</v>
      </c>
      <c r="K5">
        <v>8.1199999999999992</v>
      </c>
      <c r="L5">
        <v>17</v>
      </c>
      <c r="M5" s="2">
        <f t="shared" si="0"/>
        <v>2.3032407407407307E-3</v>
      </c>
      <c r="N5" s="2">
        <f>H5-I5</f>
        <v>3.530092592592593E-2</v>
      </c>
      <c r="O5" s="2">
        <f>N5-M5</f>
        <v>3.2997685185185199E-2</v>
      </c>
    </row>
    <row r="6" spans="1:15">
      <c r="A6">
        <v>5</v>
      </c>
      <c r="B6" t="s">
        <v>25</v>
      </c>
      <c r="C6" s="1">
        <v>46137</v>
      </c>
      <c r="D6" t="s">
        <v>18</v>
      </c>
      <c r="E6" s="1">
        <v>46137</v>
      </c>
      <c r="F6" s="2">
        <v>0.375</v>
      </c>
      <c r="G6" s="2">
        <v>0.36821759259259257</v>
      </c>
      <c r="H6" s="2">
        <v>0.58333333333333337</v>
      </c>
      <c r="I6" s="2">
        <v>0.59068287037037037</v>
      </c>
      <c r="J6">
        <v>5</v>
      </c>
      <c r="K6">
        <v>5.2</v>
      </c>
      <c r="L6">
        <v>17</v>
      </c>
      <c r="M6" s="2">
        <f t="shared" si="0"/>
        <v>6.7824074074074314E-3</v>
      </c>
      <c r="N6" s="2">
        <f t="shared" si="1"/>
        <v>7.3495370370370017E-3</v>
      </c>
      <c r="O6" s="2">
        <f t="shared" ref="O3:O32" si="2">N6-M6</f>
        <v>5.6712962962957025E-4</v>
      </c>
    </row>
    <row r="7" spans="1:15">
      <c r="A7" s="4">
        <v>6</v>
      </c>
      <c r="B7" s="4" t="s">
        <v>25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2"/>
      <c r="N7" s="2"/>
      <c r="O7" s="2"/>
    </row>
    <row r="8" spans="1:15">
      <c r="A8">
        <v>7</v>
      </c>
      <c r="B8" t="s">
        <v>25</v>
      </c>
      <c r="C8" s="1">
        <v>46139</v>
      </c>
      <c r="D8" t="s">
        <v>20</v>
      </c>
      <c r="E8" s="1">
        <v>46139</v>
      </c>
      <c r="F8" s="2">
        <v>0.375</v>
      </c>
      <c r="G8" s="2">
        <v>0.37484953703703705</v>
      </c>
      <c r="H8" s="2">
        <v>0.75</v>
      </c>
      <c r="I8" s="2">
        <v>0.7522106481481482</v>
      </c>
      <c r="J8">
        <v>9</v>
      </c>
      <c r="K8">
        <v>9.0299999999999994</v>
      </c>
      <c r="L8">
        <v>18</v>
      </c>
      <c r="M8" s="2">
        <f t="shared" si="0"/>
        <v>1.5046296296294948E-4</v>
      </c>
      <c r="N8" s="2">
        <f t="shared" si="1"/>
        <v>2.2106481481481977E-3</v>
      </c>
      <c r="O8" s="2">
        <f t="shared" si="2"/>
        <v>2.0601851851852482E-3</v>
      </c>
    </row>
    <row r="9" spans="1:15">
      <c r="A9">
        <v>8</v>
      </c>
      <c r="B9" t="s">
        <v>25</v>
      </c>
      <c r="C9" s="1">
        <v>46140</v>
      </c>
      <c r="D9" t="s">
        <v>13</v>
      </c>
      <c r="E9" s="1">
        <v>46140</v>
      </c>
      <c r="F9" s="2">
        <v>0.375</v>
      </c>
      <c r="G9" s="2">
        <v>0.37163194444444442</v>
      </c>
      <c r="H9" s="2">
        <v>0.75</v>
      </c>
      <c r="I9" s="2">
        <v>0.75119212962962967</v>
      </c>
      <c r="J9">
        <v>9</v>
      </c>
      <c r="K9">
        <v>9.06</v>
      </c>
      <c r="L9">
        <v>18</v>
      </c>
      <c r="M9" s="2">
        <f t="shared" si="0"/>
        <v>3.3680555555555824E-3</v>
      </c>
      <c r="N9" s="2">
        <f t="shared" si="1"/>
        <v>1.192129629629668E-3</v>
      </c>
      <c r="O9" s="2">
        <f>M9-N9</f>
        <v>2.1759259259259145E-3</v>
      </c>
    </row>
    <row r="10" spans="1:15">
      <c r="A10">
        <v>9</v>
      </c>
      <c r="B10" t="s">
        <v>25</v>
      </c>
      <c r="C10" s="1">
        <v>46141</v>
      </c>
      <c r="D10" t="s">
        <v>15</v>
      </c>
      <c r="E10" s="1">
        <v>46141</v>
      </c>
      <c r="F10" s="2">
        <v>0.375</v>
      </c>
      <c r="G10" s="2">
        <v>0.40471064814814817</v>
      </c>
      <c r="H10" s="2">
        <v>0.75</v>
      </c>
      <c r="I10" s="2">
        <v>0.75358796296296293</v>
      </c>
      <c r="J10">
        <v>9</v>
      </c>
      <c r="K10">
        <v>8.2200000000000006</v>
      </c>
      <c r="L10">
        <v>18</v>
      </c>
      <c r="M10" s="2">
        <f>G10-F10</f>
        <v>2.9710648148148167E-2</v>
      </c>
      <c r="N10" s="2">
        <f t="shared" si="1"/>
        <v>3.5879629629629317E-3</v>
      </c>
      <c r="O10" s="2">
        <f>M10-N10</f>
        <v>2.6122685185185235E-2</v>
      </c>
    </row>
    <row r="11" spans="1:15">
      <c r="A11">
        <v>10</v>
      </c>
      <c r="B11" t="s">
        <v>25</v>
      </c>
      <c r="C11" s="1">
        <v>46142</v>
      </c>
      <c r="D11" t="s">
        <v>16</v>
      </c>
      <c r="E11" s="1">
        <v>46142</v>
      </c>
      <c r="F11" s="2">
        <v>0.375</v>
      </c>
      <c r="G11" s="2">
        <v>0.37174768518518519</v>
      </c>
      <c r="H11" s="2">
        <v>0.75</v>
      </c>
      <c r="I11" s="2">
        <v>0.75465277777777773</v>
      </c>
      <c r="J11">
        <v>9</v>
      </c>
      <c r="K11">
        <v>9.11</v>
      </c>
      <c r="L11">
        <v>18</v>
      </c>
      <c r="M11" s="2">
        <f t="shared" si="0"/>
        <v>3.2523148148148051E-3</v>
      </c>
      <c r="N11" s="2">
        <f t="shared" si="1"/>
        <v>4.6527777777777279E-3</v>
      </c>
      <c r="O11" s="2">
        <f t="shared" si="2"/>
        <v>1.4004629629629228E-3</v>
      </c>
    </row>
    <row r="12" spans="1:15">
      <c r="A12">
        <v>11</v>
      </c>
      <c r="B12" t="s">
        <v>25</v>
      </c>
      <c r="C12" s="1">
        <v>46143</v>
      </c>
      <c r="D12" t="s">
        <v>17</v>
      </c>
      <c r="E12" s="1">
        <v>46143</v>
      </c>
      <c r="F12" s="2">
        <v>0.375</v>
      </c>
      <c r="G12" s="2">
        <v>0.3742361111111111</v>
      </c>
      <c r="H12" s="2">
        <v>0.75</v>
      </c>
      <c r="I12" s="2">
        <v>0.75173611111111116</v>
      </c>
      <c r="J12">
        <v>9</v>
      </c>
      <c r="K12">
        <v>9.0299999999999994</v>
      </c>
      <c r="L12">
        <v>18</v>
      </c>
      <c r="M12" s="2">
        <f t="shared" si="0"/>
        <v>7.6388888888889728E-4</v>
      </c>
      <c r="N12" s="2">
        <f t="shared" si="1"/>
        <v>1.7361111111111605E-3</v>
      </c>
      <c r="O12" s="2">
        <f t="shared" si="2"/>
        <v>9.7222222222226318E-4</v>
      </c>
    </row>
    <row r="13" spans="1:15">
      <c r="A13">
        <v>12</v>
      </c>
      <c r="B13" t="s">
        <v>25</v>
      </c>
      <c r="C13" s="1">
        <v>46144</v>
      </c>
      <c r="D13" t="s">
        <v>18</v>
      </c>
      <c r="E13" s="1">
        <v>46144</v>
      </c>
      <c r="F13" s="2">
        <v>0.375</v>
      </c>
      <c r="G13" s="2">
        <v>0.37225694444444446</v>
      </c>
      <c r="H13" s="2">
        <v>0.58333333333333337</v>
      </c>
      <c r="I13" s="2">
        <v>0.58605324074074072</v>
      </c>
      <c r="J13">
        <v>5</v>
      </c>
      <c r="K13">
        <v>5.07</v>
      </c>
      <c r="L13">
        <v>18</v>
      </c>
      <c r="M13" s="2">
        <f t="shared" si="0"/>
        <v>2.7430555555555403E-3</v>
      </c>
      <c r="N13" s="2">
        <f t="shared" si="1"/>
        <v>2.7199074074073515E-3</v>
      </c>
      <c r="O13" s="2">
        <f>M13-N13</f>
        <v>2.3148148148188774E-5</v>
      </c>
    </row>
    <row r="14" spans="1:15">
      <c r="A14" s="4">
        <v>13</v>
      </c>
      <c r="B14" s="4" t="s">
        <v>25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2"/>
      <c r="N14" s="2"/>
      <c r="O14" s="2"/>
    </row>
    <row r="15" spans="1:15">
      <c r="A15">
        <v>14</v>
      </c>
      <c r="B15" t="s">
        <v>25</v>
      </c>
      <c r="C15" s="1">
        <v>46146</v>
      </c>
      <c r="D15" t="s">
        <v>20</v>
      </c>
      <c r="E15" s="1">
        <v>46146</v>
      </c>
      <c r="F15" s="2">
        <v>0.375</v>
      </c>
      <c r="G15" s="2">
        <v>0.37439814814814815</v>
      </c>
      <c r="H15" s="2">
        <v>0.75</v>
      </c>
      <c r="I15" s="2">
        <v>0.75112268518518521</v>
      </c>
      <c r="J15">
        <v>9</v>
      </c>
      <c r="K15">
        <v>9.02</v>
      </c>
      <c r="L15">
        <v>19</v>
      </c>
      <c r="M15" s="2">
        <f t="shared" si="0"/>
        <v>6.0185185185185341E-4</v>
      </c>
      <c r="N15" s="2">
        <f t="shared" si="1"/>
        <v>1.1226851851852127E-3</v>
      </c>
      <c r="O15" s="2">
        <f t="shared" si="2"/>
        <v>5.2083333333335924E-4</v>
      </c>
    </row>
    <row r="16" spans="1:15">
      <c r="A16" s="37">
        <v>15</v>
      </c>
      <c r="B16" s="37" t="s">
        <v>25</v>
      </c>
      <c r="C16" s="38">
        <v>46147</v>
      </c>
      <c r="D16" s="37" t="s">
        <v>13</v>
      </c>
      <c r="E16" s="38">
        <v>46147</v>
      </c>
      <c r="F16" s="39">
        <v>0.375</v>
      </c>
      <c r="G16" s="39" t="s">
        <v>14</v>
      </c>
      <c r="H16" s="39">
        <v>0.75</v>
      </c>
      <c r="I16" s="39" t="s">
        <v>14</v>
      </c>
      <c r="J16" s="37" t="s">
        <v>14</v>
      </c>
      <c r="K16" s="37" t="s">
        <v>14</v>
      </c>
      <c r="L16" s="37">
        <v>19</v>
      </c>
      <c r="M16" s="2"/>
      <c r="N16" s="2"/>
      <c r="O16" s="2"/>
    </row>
    <row r="17" spans="1:15">
      <c r="A17">
        <v>16</v>
      </c>
      <c r="B17" t="s">
        <v>25</v>
      </c>
      <c r="C17" s="1">
        <v>46148</v>
      </c>
      <c r="D17" t="s">
        <v>15</v>
      </c>
      <c r="E17" s="1">
        <v>46148</v>
      </c>
      <c r="F17" s="2">
        <v>0.375</v>
      </c>
      <c r="G17" s="2">
        <v>0.37193287037037037</v>
      </c>
      <c r="H17" s="2">
        <v>0.75</v>
      </c>
      <c r="I17" s="2">
        <v>0.75305555555555559</v>
      </c>
      <c r="J17">
        <v>9</v>
      </c>
      <c r="K17">
        <v>9.08</v>
      </c>
      <c r="L17">
        <v>19</v>
      </c>
      <c r="M17" s="2">
        <f t="shared" si="0"/>
        <v>3.067129629629628E-3</v>
      </c>
      <c r="N17" s="2">
        <f t="shared" si="1"/>
        <v>3.0555555555555891E-3</v>
      </c>
      <c r="O17" s="2">
        <f>M17-N17</f>
        <v>1.1574074074038876E-5</v>
      </c>
    </row>
    <row r="18" spans="1:15">
      <c r="A18">
        <v>17</v>
      </c>
      <c r="B18" t="s">
        <v>25</v>
      </c>
      <c r="C18" s="1">
        <v>46149</v>
      </c>
      <c r="D18" t="s">
        <v>16</v>
      </c>
      <c r="E18" s="1">
        <v>46149</v>
      </c>
      <c r="F18" s="2">
        <v>0.375</v>
      </c>
      <c r="G18" s="2">
        <v>0.37430555555555556</v>
      </c>
      <c r="H18" s="2">
        <v>0.75</v>
      </c>
      <c r="I18" s="2">
        <v>0.75392361111111106</v>
      </c>
      <c r="J18">
        <v>9</v>
      </c>
      <c r="K18">
        <v>9.06</v>
      </c>
      <c r="L18">
        <v>19</v>
      </c>
      <c r="M18" s="2">
        <f t="shared" si="0"/>
        <v>6.9444444444444198E-4</v>
      </c>
      <c r="N18" s="2">
        <f t="shared" si="1"/>
        <v>3.9236111111110583E-3</v>
      </c>
      <c r="O18" s="2">
        <f t="shared" si="2"/>
        <v>3.2291666666666163E-3</v>
      </c>
    </row>
    <row r="19" spans="1:15">
      <c r="A19">
        <v>18</v>
      </c>
      <c r="B19" t="s">
        <v>25</v>
      </c>
      <c r="C19" s="1">
        <v>46150</v>
      </c>
      <c r="D19" t="s">
        <v>17</v>
      </c>
      <c r="E19" s="1">
        <v>46150</v>
      </c>
      <c r="F19" s="2">
        <v>0.375</v>
      </c>
      <c r="G19" s="2">
        <v>0.37315972222222221</v>
      </c>
      <c r="H19" s="2">
        <v>0.75</v>
      </c>
      <c r="I19" s="2">
        <v>0.74711805555555555</v>
      </c>
      <c r="J19">
        <v>9</v>
      </c>
      <c r="K19">
        <v>8.58</v>
      </c>
      <c r="L19">
        <v>19</v>
      </c>
      <c r="M19" s="2">
        <f t="shared" si="0"/>
        <v>1.8402777777777879E-3</v>
      </c>
      <c r="N19" s="2">
        <f>H19-I19</f>
        <v>2.8819444444444509E-3</v>
      </c>
      <c r="O19" s="2">
        <f>N19-M19</f>
        <v>1.041666666666663E-3</v>
      </c>
    </row>
    <row r="20" spans="1:15">
      <c r="A20">
        <v>19</v>
      </c>
      <c r="B20" t="s">
        <v>25</v>
      </c>
      <c r="C20" s="1">
        <v>46151</v>
      </c>
      <c r="D20" t="s">
        <v>18</v>
      </c>
      <c r="E20" s="1">
        <v>46151</v>
      </c>
      <c r="F20" s="2">
        <v>0.375</v>
      </c>
      <c r="G20" s="2">
        <v>0.37662037037037038</v>
      </c>
      <c r="H20" s="2">
        <v>0.58333333333333337</v>
      </c>
      <c r="I20" s="2">
        <v>0.58438657407407413</v>
      </c>
      <c r="J20">
        <v>5</v>
      </c>
      <c r="K20">
        <v>4.59</v>
      </c>
      <c r="L20">
        <v>19</v>
      </c>
      <c r="M20" s="2">
        <f>G20-F20</f>
        <v>1.6203703703703831E-3</v>
      </c>
      <c r="N20" s="2">
        <f t="shared" si="1"/>
        <v>1.0532407407407574E-3</v>
      </c>
      <c r="O20" s="2">
        <f>M20-N20</f>
        <v>5.6712962962962576E-4</v>
      </c>
    </row>
    <row r="21" spans="1:15">
      <c r="A21" s="4">
        <v>20</v>
      </c>
      <c r="B21" s="4" t="s">
        <v>25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>
        <v>21</v>
      </c>
      <c r="B22" t="s">
        <v>25</v>
      </c>
      <c r="C22" s="1">
        <v>46153</v>
      </c>
      <c r="D22" t="s">
        <v>20</v>
      </c>
      <c r="E22" s="1">
        <v>46153</v>
      </c>
      <c r="F22" s="2">
        <v>0.375</v>
      </c>
      <c r="G22" s="2">
        <v>0.37101851851851853</v>
      </c>
      <c r="H22" s="2">
        <v>0.75</v>
      </c>
      <c r="I22" s="2">
        <v>0.75037037037037035</v>
      </c>
      <c r="J22">
        <v>9</v>
      </c>
      <c r="K22">
        <v>9.06</v>
      </c>
      <c r="L22">
        <v>20</v>
      </c>
      <c r="M22" s="2">
        <f t="shared" si="0"/>
        <v>3.9814814814814747E-3</v>
      </c>
      <c r="N22" s="2">
        <f t="shared" si="1"/>
        <v>3.7037037037035425E-4</v>
      </c>
      <c r="O22" s="2">
        <f>M22-N22</f>
        <v>3.6111111111111205E-3</v>
      </c>
    </row>
    <row r="23" spans="1:15">
      <c r="A23">
        <v>22</v>
      </c>
      <c r="B23" t="s">
        <v>25</v>
      </c>
      <c r="C23" s="1">
        <v>46154</v>
      </c>
      <c r="D23" t="s">
        <v>13</v>
      </c>
      <c r="E23" s="1">
        <v>46154</v>
      </c>
      <c r="F23" s="2">
        <v>0.375</v>
      </c>
      <c r="G23" s="2">
        <v>0.37513888888888891</v>
      </c>
      <c r="H23" s="2">
        <v>0.75</v>
      </c>
      <c r="I23" s="2">
        <v>0.75189814814814815</v>
      </c>
      <c r="J23">
        <v>9</v>
      </c>
      <c r="K23">
        <v>9.02</v>
      </c>
      <c r="L23">
        <v>20</v>
      </c>
      <c r="M23" s="2">
        <f>G23-F23</f>
        <v>1.388888888889106E-4</v>
      </c>
      <c r="N23" s="2">
        <f t="shared" si="1"/>
        <v>1.8981481481481488E-3</v>
      </c>
      <c r="O23" s="2">
        <f t="shared" si="2"/>
        <v>1.7592592592592382E-3</v>
      </c>
    </row>
    <row r="24" spans="1:15">
      <c r="A24">
        <v>23</v>
      </c>
      <c r="B24" t="s">
        <v>25</v>
      </c>
      <c r="C24" s="1">
        <v>46155</v>
      </c>
      <c r="D24" t="s">
        <v>15</v>
      </c>
      <c r="E24" s="1">
        <v>46155</v>
      </c>
      <c r="F24" s="2">
        <v>0.375</v>
      </c>
      <c r="G24" s="2">
        <v>0.3727199074074074</v>
      </c>
      <c r="H24" s="2">
        <v>0.75</v>
      </c>
      <c r="I24" s="2">
        <v>0.75</v>
      </c>
      <c r="J24">
        <v>9</v>
      </c>
      <c r="K24">
        <v>9.4</v>
      </c>
      <c r="L24">
        <v>20</v>
      </c>
      <c r="M24" s="2">
        <f t="shared" si="0"/>
        <v>2.2800925925925974E-3</v>
      </c>
      <c r="N24" s="2">
        <f t="shared" si="1"/>
        <v>0</v>
      </c>
      <c r="O24" s="2">
        <f>M24-N24</f>
        <v>2.2800925925925974E-3</v>
      </c>
    </row>
    <row r="25" spans="1:15">
      <c r="A25" s="37">
        <v>24</v>
      </c>
      <c r="B25" s="37" t="s">
        <v>25</v>
      </c>
      <c r="C25" s="38">
        <v>46156</v>
      </c>
      <c r="D25" s="37" t="s">
        <v>16</v>
      </c>
      <c r="E25" s="38">
        <v>46156</v>
      </c>
      <c r="F25" s="39">
        <v>0.375</v>
      </c>
      <c r="G25" s="39" t="s">
        <v>14</v>
      </c>
      <c r="H25" s="39">
        <v>0.75</v>
      </c>
      <c r="I25" s="39" t="s">
        <v>14</v>
      </c>
      <c r="J25" s="37" t="s">
        <v>14</v>
      </c>
      <c r="K25" s="37" t="s">
        <v>14</v>
      </c>
      <c r="L25" s="37">
        <v>20</v>
      </c>
      <c r="M25" s="2"/>
      <c r="N25" s="2"/>
      <c r="O25" s="2"/>
    </row>
    <row r="26" spans="1:15">
      <c r="A26">
        <v>25</v>
      </c>
      <c r="B26" t="s">
        <v>25</v>
      </c>
      <c r="C26" s="1">
        <v>46157</v>
      </c>
      <c r="D26" t="s">
        <v>17</v>
      </c>
      <c r="E26" s="1">
        <v>46157</v>
      </c>
      <c r="F26" s="2">
        <v>0.375</v>
      </c>
      <c r="G26" s="2">
        <v>0.36704861111111109</v>
      </c>
      <c r="H26" s="2">
        <v>0.75</v>
      </c>
      <c r="I26" s="2">
        <v>0.7542592592592593</v>
      </c>
      <c r="J26">
        <v>9</v>
      </c>
      <c r="K26">
        <v>9.17</v>
      </c>
      <c r="L26">
        <v>20</v>
      </c>
      <c r="M26" s="2">
        <f t="shared" si="0"/>
        <v>7.9513888888889106E-3</v>
      </c>
      <c r="N26" s="2">
        <f t="shared" si="1"/>
        <v>4.2592592592592959E-3</v>
      </c>
      <c r="O26" s="2">
        <f t="shared" ref="O26:O27" si="3">M26-N26</f>
        <v>3.6921296296296147E-3</v>
      </c>
    </row>
    <row r="27" spans="1:15">
      <c r="A27">
        <v>26</v>
      </c>
      <c r="B27" t="s">
        <v>25</v>
      </c>
      <c r="C27" s="1">
        <v>46158</v>
      </c>
      <c r="D27" t="s">
        <v>18</v>
      </c>
      <c r="E27" s="1">
        <v>46158</v>
      </c>
      <c r="F27" s="2">
        <v>0.375</v>
      </c>
      <c r="G27" s="2">
        <v>0.37788194444444445</v>
      </c>
      <c r="H27" s="2">
        <v>0.58333333333333337</v>
      </c>
      <c r="I27" s="2">
        <v>0.58646990740740745</v>
      </c>
      <c r="J27">
        <v>5</v>
      </c>
      <c r="K27">
        <v>5</v>
      </c>
      <c r="L27">
        <v>20</v>
      </c>
      <c r="M27" s="2">
        <f>G27-F27</f>
        <v>2.8819444444444509E-3</v>
      </c>
      <c r="N27" s="2">
        <f>I27-H27</f>
        <v>3.1365740740740833E-3</v>
      </c>
      <c r="O27" s="2">
        <f>N27-M27</f>
        <v>2.5462962962963243E-4</v>
      </c>
    </row>
    <row r="28" spans="1:15">
      <c r="A28" s="4">
        <v>27</v>
      </c>
      <c r="B28" s="4" t="s">
        <v>25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2"/>
      <c r="N28" s="2"/>
      <c r="O28" s="2"/>
    </row>
    <row r="29" spans="1:15">
      <c r="A29">
        <v>28</v>
      </c>
      <c r="B29" t="s">
        <v>25</v>
      </c>
      <c r="C29" s="1">
        <v>46160</v>
      </c>
      <c r="D29" t="s">
        <v>20</v>
      </c>
      <c r="E29" s="1">
        <v>46160</v>
      </c>
      <c r="F29" s="2">
        <v>0.375</v>
      </c>
      <c r="G29" s="2">
        <v>0.36738425925925927</v>
      </c>
      <c r="H29" s="2">
        <v>0.75</v>
      </c>
      <c r="I29" s="2">
        <v>0.75037037037037035</v>
      </c>
      <c r="J29">
        <v>9</v>
      </c>
      <c r="K29">
        <v>9.11</v>
      </c>
      <c r="L29">
        <v>21</v>
      </c>
      <c r="M29" s="2">
        <f t="shared" si="0"/>
        <v>7.6157407407407285E-3</v>
      </c>
      <c r="N29" s="2">
        <f t="shared" si="1"/>
        <v>3.7037037037035425E-4</v>
      </c>
      <c r="O29" s="2">
        <f t="shared" ref="O29:O30" si="4">M29-N29</f>
        <v>7.2453703703703742E-3</v>
      </c>
    </row>
    <row r="30" spans="1:15">
      <c r="A30">
        <v>29</v>
      </c>
      <c r="B30" t="s">
        <v>25</v>
      </c>
      <c r="C30" s="1">
        <v>46161</v>
      </c>
      <c r="D30" t="s">
        <v>13</v>
      </c>
      <c r="E30" s="1">
        <v>46161</v>
      </c>
      <c r="F30" s="2">
        <v>0.375</v>
      </c>
      <c r="G30" s="2">
        <v>0.37061342592592594</v>
      </c>
      <c r="H30" s="2">
        <v>0.75</v>
      </c>
      <c r="I30" s="2">
        <v>0.70859953703703704</v>
      </c>
      <c r="J30">
        <v>9</v>
      </c>
      <c r="K30">
        <v>8.06</v>
      </c>
      <c r="L30">
        <v>21</v>
      </c>
      <c r="M30" s="2">
        <f t="shared" si="0"/>
        <v>4.3865740740740566E-3</v>
      </c>
      <c r="N30" s="2">
        <f>H30-I30</f>
        <v>4.1400462962962958E-2</v>
      </c>
      <c r="O30" s="2">
        <f>N30-M30</f>
        <v>3.7013888888888902E-2</v>
      </c>
    </row>
    <row r="31" spans="1:15">
      <c r="A31">
        <v>30</v>
      </c>
      <c r="B31" t="s">
        <v>25</v>
      </c>
      <c r="C31" s="1">
        <v>46162</v>
      </c>
      <c r="D31" t="s">
        <v>15</v>
      </c>
      <c r="E31" s="1">
        <v>46162</v>
      </c>
      <c r="F31" s="2">
        <v>0.375</v>
      </c>
      <c r="G31" s="2">
        <v>0.37592592592592594</v>
      </c>
      <c r="H31" s="2">
        <v>0.75</v>
      </c>
      <c r="I31" s="2">
        <v>0.75516203703703699</v>
      </c>
      <c r="J31">
        <v>9</v>
      </c>
      <c r="K31">
        <v>9.06</v>
      </c>
      <c r="L31">
        <v>21</v>
      </c>
      <c r="M31" s="2">
        <f>G31-F31</f>
        <v>9.2592592592594114E-4</v>
      </c>
      <c r="N31" s="2">
        <f t="shared" si="1"/>
        <v>5.1620370370369928E-3</v>
      </c>
      <c r="O31" s="2">
        <f t="shared" si="2"/>
        <v>4.2361111111110517E-3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SUM(M10,M20,M27,M31)</f>
        <v>3.5138888888888942E-2</v>
      </c>
      <c r="N32" s="18">
        <f>SUM(N2:N4,N6,N8:N18,N20:N29,N31)</f>
        <v>5.2210648148148131E-2</v>
      </c>
      <c r="O32" s="2"/>
    </row>
    <row r="33" spans="3:13">
      <c r="L33" t="s">
        <v>33</v>
      </c>
      <c r="M33" s="18">
        <f>N32-M32</f>
        <v>1.7071759259259189E-2</v>
      </c>
    </row>
    <row r="34" spans="3:13">
      <c r="L34" t="s">
        <v>64</v>
      </c>
      <c r="M34">
        <v>189.22</v>
      </c>
    </row>
    <row r="37" spans="3:13">
      <c r="C37" s="20" t="s">
        <v>34</v>
      </c>
      <c r="D37" s="21"/>
      <c r="E37" s="21"/>
      <c r="F37" s="21"/>
      <c r="G37" s="21"/>
      <c r="H37" s="21"/>
    </row>
    <row r="38" spans="3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3">
      <c r="C39" s="21" t="s">
        <v>36</v>
      </c>
      <c r="D39" s="21">
        <f>SUM(J2:J6)</f>
        <v>32</v>
      </c>
      <c r="E39" s="21">
        <f>SUM(J8:J13)</f>
        <v>50</v>
      </c>
      <c r="F39" s="21">
        <f>SUM(J15:J20)</f>
        <v>41</v>
      </c>
      <c r="G39" s="21">
        <f>SUM(J22:J27)</f>
        <v>41</v>
      </c>
      <c r="H39" s="21">
        <f>SUM(J29:J31)</f>
        <v>27</v>
      </c>
    </row>
    <row r="40" spans="3:13">
      <c r="C40" s="21" t="s">
        <v>37</v>
      </c>
      <c r="D40" s="21">
        <f>SUM(K2:K6)</f>
        <v>31.49</v>
      </c>
      <c r="E40" s="21">
        <f>SUM(K8:K13)</f>
        <v>49.52</v>
      </c>
      <c r="F40" s="21">
        <f>SUM(K15:K20)</f>
        <v>40.33</v>
      </c>
      <c r="G40" s="21">
        <f>SUM(K22:K27)</f>
        <v>41.65</v>
      </c>
      <c r="H40" s="21">
        <f>SUM(K29:K31)</f>
        <v>26.230000000000004</v>
      </c>
    </row>
    <row r="41" spans="3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3">
      <c r="C42" s="20" t="s">
        <v>40</v>
      </c>
      <c r="D42" s="21">
        <f>SUM(J2:J11)</f>
        <v>68</v>
      </c>
      <c r="E42" s="21">
        <f>SUM(J12:J31)</f>
        <v>123</v>
      </c>
      <c r="F42" s="21">
        <f>SUM(D42:E42)</f>
        <v>191</v>
      </c>
      <c r="G42" s="24"/>
      <c r="H42" s="24"/>
      <c r="J42" s="28"/>
      <c r="K42" s="24" t="s">
        <v>44</v>
      </c>
    </row>
    <row r="43" spans="3:13">
      <c r="C43" s="20" t="s">
        <v>41</v>
      </c>
      <c r="D43" s="21">
        <f>SUM(K2:K11)</f>
        <v>66.91</v>
      </c>
      <c r="E43" s="21">
        <f>SUM(K12:K31)</f>
        <v>122.31</v>
      </c>
      <c r="F43" s="21">
        <f>SUM(D43:E43)</f>
        <v>189.22</v>
      </c>
      <c r="G43" s="24"/>
      <c r="H43" s="24"/>
      <c r="J43" s="29"/>
      <c r="K43" s="24" t="s">
        <v>47</v>
      </c>
    </row>
    <row r="44" spans="3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3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3:13">
      <c r="C46" s="21" t="s">
        <v>43</v>
      </c>
      <c r="D46" s="21"/>
      <c r="E46" s="21">
        <v>27</v>
      </c>
      <c r="F46" s="24"/>
      <c r="G46" s="24"/>
      <c r="H46" s="24"/>
      <c r="J46" s="32"/>
      <c r="K46" s="24" t="s">
        <v>49</v>
      </c>
    </row>
    <row r="47" spans="3:13">
      <c r="C47" s="21" t="s">
        <v>44</v>
      </c>
      <c r="D47" s="21"/>
      <c r="E47" s="21">
        <v>3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47"/>
  <sheetViews>
    <sheetView topLeftCell="A28" workbookViewId="0">
      <selection activeCell="L33" sqref="L33:L34"/>
    </sheetView>
  </sheetViews>
  <sheetFormatPr defaultRowHeight="15"/>
  <cols>
    <col min="3" max="3" width="11.140625" customWidth="1"/>
    <col min="5" max="5" width="11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 s="40">
        <v>1</v>
      </c>
      <c r="B2" s="40" t="s">
        <v>26</v>
      </c>
      <c r="C2" s="41">
        <v>46133</v>
      </c>
      <c r="D2" s="40" t="s">
        <v>13</v>
      </c>
      <c r="E2" s="41">
        <v>46133</v>
      </c>
      <c r="F2" s="42">
        <v>0.375</v>
      </c>
      <c r="G2" s="42" t="s">
        <v>14</v>
      </c>
      <c r="H2" s="42">
        <v>0.75</v>
      </c>
      <c r="I2" s="42" t="s">
        <v>65</v>
      </c>
      <c r="J2" s="42" t="s">
        <v>65</v>
      </c>
      <c r="K2" s="42" t="s">
        <v>65</v>
      </c>
      <c r="L2" s="40">
        <v>17</v>
      </c>
      <c r="M2" s="2"/>
      <c r="N2" s="2"/>
      <c r="O2" s="2"/>
    </row>
    <row r="3" spans="1:15">
      <c r="A3" s="40">
        <v>2</v>
      </c>
      <c r="B3" s="40" t="s">
        <v>26</v>
      </c>
      <c r="C3" s="41">
        <v>46134</v>
      </c>
      <c r="D3" s="40" t="s">
        <v>15</v>
      </c>
      <c r="E3" s="41">
        <v>46134</v>
      </c>
      <c r="F3" s="42">
        <v>0.375</v>
      </c>
      <c r="G3" s="42" t="s">
        <v>14</v>
      </c>
      <c r="H3" s="42">
        <v>0.75</v>
      </c>
      <c r="I3" s="42" t="s">
        <v>65</v>
      </c>
      <c r="J3" s="42" t="s">
        <v>65</v>
      </c>
      <c r="K3" s="42" t="s">
        <v>65</v>
      </c>
      <c r="L3" s="40">
        <v>17</v>
      </c>
    </row>
    <row r="4" spans="1:15">
      <c r="A4" s="40">
        <v>3</v>
      </c>
      <c r="B4" s="40" t="s">
        <v>26</v>
      </c>
      <c r="C4" s="41">
        <v>46135</v>
      </c>
      <c r="D4" s="40" t="s">
        <v>16</v>
      </c>
      <c r="E4" s="41">
        <v>46135</v>
      </c>
      <c r="F4" s="42">
        <v>0.375</v>
      </c>
      <c r="G4" s="42" t="s">
        <v>14</v>
      </c>
      <c r="H4" s="42">
        <v>0.75</v>
      </c>
      <c r="I4" s="42" t="s">
        <v>65</v>
      </c>
      <c r="J4" s="42" t="s">
        <v>65</v>
      </c>
      <c r="K4" s="42" t="s">
        <v>65</v>
      </c>
      <c r="L4" s="40">
        <v>17</v>
      </c>
    </row>
    <row r="5" spans="1:15">
      <c r="A5" s="40">
        <v>4</v>
      </c>
      <c r="B5" s="40" t="s">
        <v>26</v>
      </c>
      <c r="C5" s="41">
        <v>46136</v>
      </c>
      <c r="D5" s="40" t="s">
        <v>17</v>
      </c>
      <c r="E5" s="41">
        <v>46136</v>
      </c>
      <c r="F5" s="42">
        <v>0.375</v>
      </c>
      <c r="G5" s="42" t="s">
        <v>14</v>
      </c>
      <c r="H5" s="42">
        <v>0.75</v>
      </c>
      <c r="I5" s="42" t="s">
        <v>65</v>
      </c>
      <c r="J5" s="42" t="s">
        <v>65</v>
      </c>
      <c r="K5" s="42" t="s">
        <v>65</v>
      </c>
      <c r="L5" s="40">
        <v>17</v>
      </c>
    </row>
    <row r="6" spans="1:15">
      <c r="A6" s="40">
        <v>5</v>
      </c>
      <c r="B6" s="40" t="s">
        <v>26</v>
      </c>
      <c r="C6" s="41">
        <v>46137</v>
      </c>
      <c r="D6" s="40" t="s">
        <v>18</v>
      </c>
      <c r="E6" s="41">
        <v>46137</v>
      </c>
      <c r="F6" s="42">
        <v>0.375</v>
      </c>
      <c r="G6" s="42" t="s">
        <v>14</v>
      </c>
      <c r="H6" s="42">
        <v>0.58333333333333337</v>
      </c>
      <c r="I6" s="42" t="s">
        <v>65</v>
      </c>
      <c r="J6" s="42" t="s">
        <v>65</v>
      </c>
      <c r="K6" s="42" t="s">
        <v>65</v>
      </c>
      <c r="L6" s="40">
        <v>17</v>
      </c>
    </row>
    <row r="7" spans="1:15">
      <c r="A7" s="54">
        <v>6</v>
      </c>
      <c r="B7" s="54" t="s">
        <v>26</v>
      </c>
      <c r="C7" s="55">
        <v>46138</v>
      </c>
      <c r="D7" s="54" t="s">
        <v>19</v>
      </c>
      <c r="E7" s="55">
        <v>46138</v>
      </c>
      <c r="F7" s="56">
        <v>0.375</v>
      </c>
      <c r="G7" s="56" t="s">
        <v>14</v>
      </c>
      <c r="H7" s="56">
        <v>0.75</v>
      </c>
      <c r="I7" s="56" t="s">
        <v>14</v>
      </c>
      <c r="J7" s="54" t="s">
        <v>14</v>
      </c>
      <c r="K7" s="54" t="s">
        <v>14</v>
      </c>
      <c r="L7" s="54">
        <v>18</v>
      </c>
    </row>
    <row r="8" spans="1:15">
      <c r="A8" s="40">
        <v>7</v>
      </c>
      <c r="B8" s="40" t="s">
        <v>26</v>
      </c>
      <c r="C8" s="41">
        <v>46139</v>
      </c>
      <c r="D8" s="40" t="s">
        <v>20</v>
      </c>
      <c r="E8" s="41">
        <v>46139</v>
      </c>
      <c r="F8" s="42">
        <v>0.375</v>
      </c>
      <c r="G8" s="42" t="s">
        <v>14</v>
      </c>
      <c r="H8" s="42">
        <v>0.75</v>
      </c>
      <c r="I8" s="42" t="s">
        <v>65</v>
      </c>
      <c r="J8" s="42" t="s">
        <v>65</v>
      </c>
      <c r="K8" s="42" t="s">
        <v>65</v>
      </c>
      <c r="L8" s="40">
        <v>18</v>
      </c>
    </row>
    <row r="9" spans="1:15">
      <c r="A9" s="40">
        <v>8</v>
      </c>
      <c r="B9" s="40" t="s">
        <v>26</v>
      </c>
      <c r="C9" s="41">
        <v>46140</v>
      </c>
      <c r="D9" s="40" t="s">
        <v>13</v>
      </c>
      <c r="E9" s="41">
        <v>46140</v>
      </c>
      <c r="F9" s="42">
        <v>0.375</v>
      </c>
      <c r="G9" s="42" t="s">
        <v>14</v>
      </c>
      <c r="H9" s="42">
        <v>0.75</v>
      </c>
      <c r="I9" s="42" t="s">
        <v>65</v>
      </c>
      <c r="J9" s="42" t="s">
        <v>65</v>
      </c>
      <c r="K9" s="42" t="s">
        <v>65</v>
      </c>
      <c r="L9" s="40">
        <v>18</v>
      </c>
    </row>
    <row r="10" spans="1:15">
      <c r="A10" s="37">
        <v>9</v>
      </c>
      <c r="B10" s="37" t="s">
        <v>26</v>
      </c>
      <c r="C10" s="38">
        <v>46141</v>
      </c>
      <c r="D10" s="37" t="s">
        <v>15</v>
      </c>
      <c r="E10" s="38">
        <v>46141</v>
      </c>
      <c r="F10" s="39">
        <v>0.375</v>
      </c>
      <c r="G10" s="39" t="s">
        <v>14</v>
      </c>
      <c r="H10" s="39">
        <v>0.75</v>
      </c>
      <c r="I10" s="39" t="s">
        <v>14</v>
      </c>
      <c r="J10" s="37" t="s">
        <v>14</v>
      </c>
      <c r="K10" s="37" t="s">
        <v>14</v>
      </c>
      <c r="L10" s="37">
        <v>18</v>
      </c>
    </row>
    <row r="11" spans="1:15">
      <c r="A11">
        <v>10</v>
      </c>
      <c r="B11" t="s">
        <v>26</v>
      </c>
      <c r="C11" s="1">
        <v>46142</v>
      </c>
      <c r="D11" t="s">
        <v>16</v>
      </c>
      <c r="E11" s="1">
        <v>46142</v>
      </c>
      <c r="F11" s="2">
        <v>0.33333333333333331</v>
      </c>
      <c r="G11" s="2">
        <v>0.33732638888888888</v>
      </c>
      <c r="H11" s="2">
        <v>0.70833333333333337</v>
      </c>
      <c r="I11" s="2">
        <v>0.73603009259259256</v>
      </c>
      <c r="J11">
        <v>9</v>
      </c>
      <c r="K11">
        <v>9.34</v>
      </c>
      <c r="L11">
        <v>18</v>
      </c>
      <c r="M11" s="2">
        <f>G11-F11</f>
        <v>3.9930555555555691E-3</v>
      </c>
      <c r="N11" s="2">
        <f>I11-H11</f>
        <v>2.7696759259259185E-2</v>
      </c>
      <c r="O11" s="2">
        <f>N11-M11</f>
        <v>2.3703703703703616E-2</v>
      </c>
    </row>
    <row r="12" spans="1:15">
      <c r="A12">
        <v>11</v>
      </c>
      <c r="B12" t="s">
        <v>26</v>
      </c>
      <c r="C12" s="1">
        <v>46143</v>
      </c>
      <c r="D12" t="s">
        <v>17</v>
      </c>
      <c r="E12" s="1">
        <v>46143</v>
      </c>
      <c r="F12" s="2">
        <v>0.375</v>
      </c>
      <c r="G12" s="2">
        <v>0.37616898148148148</v>
      </c>
      <c r="H12" s="2">
        <v>0.75</v>
      </c>
      <c r="I12" s="2">
        <v>0.7564467592592593</v>
      </c>
      <c r="J12">
        <v>9</v>
      </c>
      <c r="K12">
        <v>9.07</v>
      </c>
      <c r="L12">
        <v>18</v>
      </c>
      <c r="M12" s="2">
        <f t="shared" ref="M12:M31" si="0">G12-F12</f>
        <v>1.1689814814814792E-3</v>
      </c>
      <c r="N12" s="2">
        <f t="shared" ref="N12:N31" si="1">I12-H12</f>
        <v>6.4467592592593048E-3</v>
      </c>
      <c r="O12" s="2">
        <f t="shared" ref="O12:O31" si="2">N12-M12</f>
        <v>5.2777777777778256E-3</v>
      </c>
    </row>
    <row r="13" spans="1:15">
      <c r="A13">
        <v>12</v>
      </c>
      <c r="B13" t="s">
        <v>26</v>
      </c>
      <c r="C13" s="1">
        <v>46144</v>
      </c>
      <c r="D13" t="s">
        <v>18</v>
      </c>
      <c r="E13" s="1">
        <v>46144</v>
      </c>
      <c r="F13" s="2">
        <v>0.375</v>
      </c>
      <c r="G13" s="2">
        <v>0.38046296296296295</v>
      </c>
      <c r="H13" s="2">
        <v>0.58333333333333337</v>
      </c>
      <c r="I13" s="2">
        <v>0.60325231481481478</v>
      </c>
      <c r="J13">
        <v>5</v>
      </c>
      <c r="K13">
        <v>5.2</v>
      </c>
      <c r="L13">
        <v>18</v>
      </c>
      <c r="M13" s="2">
        <f t="shared" si="0"/>
        <v>5.4629629629629473E-3</v>
      </c>
      <c r="N13" s="2">
        <f t="shared" si="1"/>
        <v>1.9918981481481413E-2</v>
      </c>
      <c r="O13" s="2">
        <f t="shared" si="2"/>
        <v>1.4456018518518465E-2</v>
      </c>
    </row>
    <row r="14" spans="1:15">
      <c r="A14" s="4">
        <v>13</v>
      </c>
      <c r="B14" s="4" t="s">
        <v>26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  <c r="M14" s="2"/>
      <c r="N14" s="2"/>
      <c r="O14" s="2"/>
    </row>
    <row r="15" spans="1:15">
      <c r="A15">
        <v>14</v>
      </c>
      <c r="B15" t="s">
        <v>26</v>
      </c>
      <c r="C15" s="1">
        <v>46146</v>
      </c>
      <c r="D15" t="s">
        <v>20</v>
      </c>
      <c r="E15" s="1">
        <v>46146</v>
      </c>
      <c r="F15" s="2">
        <v>0.33333333333333331</v>
      </c>
      <c r="G15" s="2">
        <v>0.34608796296296296</v>
      </c>
      <c r="H15" s="2">
        <v>0.70833333333333337</v>
      </c>
      <c r="I15" s="2">
        <v>0.71751157407407407</v>
      </c>
      <c r="J15">
        <v>9</v>
      </c>
      <c r="K15">
        <v>8.5399999999999991</v>
      </c>
      <c r="L15">
        <v>19</v>
      </c>
      <c r="M15" s="2">
        <f t="shared" si="0"/>
        <v>1.2754629629629644E-2</v>
      </c>
      <c r="N15" s="2">
        <f t="shared" si="1"/>
        <v>9.1782407407406952E-3</v>
      </c>
      <c r="O15" s="2">
        <f>M15-N15</f>
        <v>3.5763888888889483E-3</v>
      </c>
    </row>
    <row r="16" spans="1:15">
      <c r="A16">
        <v>15</v>
      </c>
      <c r="B16" t="s">
        <v>26</v>
      </c>
      <c r="C16" s="1">
        <v>46147</v>
      </c>
      <c r="D16" t="s">
        <v>13</v>
      </c>
      <c r="E16" s="1">
        <v>46147</v>
      </c>
      <c r="F16" s="2">
        <v>0.33333333333333331</v>
      </c>
      <c r="G16" s="2">
        <v>0.35009259259259257</v>
      </c>
      <c r="H16" s="2">
        <v>0.70833333333333337</v>
      </c>
      <c r="I16" s="2">
        <v>0.72446759259259264</v>
      </c>
      <c r="J16">
        <v>9</v>
      </c>
      <c r="K16">
        <v>8.59</v>
      </c>
      <c r="L16">
        <v>19</v>
      </c>
      <c r="M16" s="2">
        <f t="shared" si="0"/>
        <v>1.6759259259259252E-2</v>
      </c>
      <c r="N16" s="2">
        <f t="shared" si="1"/>
        <v>1.6134259259259265E-2</v>
      </c>
      <c r="O16" s="2">
        <f t="shared" ref="O16:O17" si="3">M16-N16</f>
        <v>6.2499999999998668E-4</v>
      </c>
    </row>
    <row r="17" spans="1:15">
      <c r="A17">
        <v>16</v>
      </c>
      <c r="B17" t="s">
        <v>26</v>
      </c>
      <c r="C17" s="1">
        <v>46148</v>
      </c>
      <c r="D17" t="s">
        <v>15</v>
      </c>
      <c r="E17" s="1">
        <v>46148</v>
      </c>
      <c r="F17" s="2">
        <v>0.375</v>
      </c>
      <c r="G17" s="2">
        <v>0.38321759259259258</v>
      </c>
      <c r="H17" s="2">
        <v>0.75</v>
      </c>
      <c r="I17" s="2">
        <v>0.75138888888888899</v>
      </c>
      <c r="J17">
        <v>9</v>
      </c>
      <c r="K17">
        <v>8.49</v>
      </c>
      <c r="L17">
        <v>19</v>
      </c>
      <c r="M17" s="2">
        <f t="shared" si="0"/>
        <v>8.2175925925925819E-3</v>
      </c>
      <c r="N17" s="2">
        <f t="shared" si="1"/>
        <v>1.388888888888995E-3</v>
      </c>
      <c r="O17" s="2">
        <f t="shared" si="3"/>
        <v>6.8287037037035869E-3</v>
      </c>
    </row>
    <row r="18" spans="1:15">
      <c r="A18">
        <v>17</v>
      </c>
      <c r="B18" t="s">
        <v>26</v>
      </c>
      <c r="C18" s="1">
        <v>46149</v>
      </c>
      <c r="D18" t="s">
        <v>16</v>
      </c>
      <c r="E18" s="1">
        <v>46149</v>
      </c>
      <c r="F18" s="2">
        <v>0.33333333333333331</v>
      </c>
      <c r="G18" s="2">
        <v>0.33327546296296295</v>
      </c>
      <c r="H18" s="2">
        <v>0.70833333333333337</v>
      </c>
      <c r="I18" s="2">
        <v>0.71353009259259259</v>
      </c>
      <c r="J18">
        <v>9</v>
      </c>
      <c r="K18">
        <v>9.07</v>
      </c>
      <c r="L18">
        <v>19</v>
      </c>
      <c r="M18" s="2">
        <f>F18-G18</f>
        <v>5.7870370370360913E-5</v>
      </c>
      <c r="N18" s="2">
        <f t="shared" si="1"/>
        <v>5.1967592592592204E-3</v>
      </c>
      <c r="O18" s="2">
        <f t="shared" si="2"/>
        <v>5.1388888888888595E-3</v>
      </c>
    </row>
    <row r="19" spans="1:15">
      <c r="A19">
        <v>18</v>
      </c>
      <c r="B19" t="s">
        <v>26</v>
      </c>
      <c r="C19" s="1">
        <v>46150</v>
      </c>
      <c r="D19" t="s">
        <v>17</v>
      </c>
      <c r="E19" s="1">
        <v>46150</v>
      </c>
      <c r="F19" s="2">
        <v>0.33333333333333331</v>
      </c>
      <c r="G19" s="2">
        <v>0.36118055555555556</v>
      </c>
      <c r="H19" s="2">
        <v>0.70833333333333337</v>
      </c>
      <c r="I19" s="2">
        <v>0.74906249999999996</v>
      </c>
      <c r="J19">
        <v>9</v>
      </c>
      <c r="K19">
        <v>9.18</v>
      </c>
      <c r="L19">
        <v>19</v>
      </c>
      <c r="M19" s="2">
        <f t="shared" si="0"/>
        <v>2.7847222222222245E-2</v>
      </c>
      <c r="N19" s="2">
        <f t="shared" si="1"/>
        <v>4.0729166666666594E-2</v>
      </c>
      <c r="O19" s="2">
        <f t="shared" si="2"/>
        <v>1.2881944444444349E-2</v>
      </c>
    </row>
    <row r="20" spans="1:15">
      <c r="A20">
        <v>19</v>
      </c>
      <c r="B20" t="s">
        <v>26</v>
      </c>
      <c r="C20" s="1">
        <v>46151</v>
      </c>
      <c r="D20" t="s">
        <v>18</v>
      </c>
      <c r="E20" s="1">
        <v>46151</v>
      </c>
      <c r="F20" s="2">
        <v>0.375</v>
      </c>
      <c r="G20" s="2">
        <v>0.37653935185185183</v>
      </c>
      <c r="H20" s="2">
        <v>0.58333333333333337</v>
      </c>
      <c r="I20" s="2">
        <v>0.58429398148148148</v>
      </c>
      <c r="J20">
        <v>5</v>
      </c>
      <c r="K20">
        <v>4.59</v>
      </c>
      <c r="L20">
        <v>19</v>
      </c>
      <c r="M20" s="2">
        <f t="shared" si="0"/>
        <v>1.5393518518518334E-3</v>
      </c>
      <c r="N20" s="2">
        <f t="shared" si="1"/>
        <v>9.6064814814811328E-4</v>
      </c>
      <c r="O20" s="2">
        <f>M20-N20</f>
        <v>5.7870370370372015E-4</v>
      </c>
    </row>
    <row r="21" spans="1:15">
      <c r="A21" s="4">
        <v>20</v>
      </c>
      <c r="B21" s="4" t="s">
        <v>26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>
        <v>21</v>
      </c>
      <c r="B22" t="s">
        <v>26</v>
      </c>
      <c r="C22" s="1">
        <v>46153</v>
      </c>
      <c r="D22" t="s">
        <v>20</v>
      </c>
      <c r="E22" s="1">
        <v>46153</v>
      </c>
      <c r="F22" s="2">
        <v>0.33333333333333331</v>
      </c>
      <c r="G22" s="2">
        <v>0.3658912037037037</v>
      </c>
      <c r="H22" s="2">
        <v>0.75</v>
      </c>
      <c r="I22" s="2">
        <v>0.75913194444444443</v>
      </c>
      <c r="J22">
        <v>9</v>
      </c>
      <c r="K22">
        <v>9.26</v>
      </c>
      <c r="L22">
        <v>20</v>
      </c>
      <c r="M22" s="2">
        <f t="shared" si="0"/>
        <v>3.255787037037039E-2</v>
      </c>
      <c r="N22" s="2">
        <f t="shared" si="1"/>
        <v>9.1319444444444287E-3</v>
      </c>
      <c r="O22" s="2">
        <f t="shared" ref="O22:O23" si="4">M22-N22</f>
        <v>2.3425925925925961E-2</v>
      </c>
    </row>
    <row r="23" spans="1:15">
      <c r="A23">
        <v>22</v>
      </c>
      <c r="B23" t="s">
        <v>26</v>
      </c>
      <c r="C23" s="1">
        <v>46154</v>
      </c>
      <c r="D23" t="s">
        <v>13</v>
      </c>
      <c r="E23" s="1">
        <v>46154</v>
      </c>
      <c r="F23" s="2">
        <v>0.375</v>
      </c>
      <c r="G23" s="2">
        <v>0.37240740740740741</v>
      </c>
      <c r="H23" s="2">
        <v>0.75</v>
      </c>
      <c r="I23" s="2">
        <v>0.75208333333333333</v>
      </c>
      <c r="J23">
        <v>9</v>
      </c>
      <c r="K23">
        <v>9.06</v>
      </c>
      <c r="L23">
        <v>20</v>
      </c>
      <c r="M23" s="2">
        <f>F23-G23</f>
        <v>2.5925925925925908E-3</v>
      </c>
      <c r="N23" s="2">
        <f t="shared" si="1"/>
        <v>2.0833333333333259E-3</v>
      </c>
      <c r="O23" s="2">
        <f t="shared" si="4"/>
        <v>5.0925925925926485E-4</v>
      </c>
    </row>
    <row r="24" spans="1:15">
      <c r="A24" s="37">
        <v>23</v>
      </c>
      <c r="B24" s="37" t="s">
        <v>26</v>
      </c>
      <c r="C24" s="38">
        <v>46155</v>
      </c>
      <c r="D24" s="37" t="s">
        <v>15</v>
      </c>
      <c r="E24" s="38">
        <v>46155</v>
      </c>
      <c r="F24" s="39">
        <v>0.375</v>
      </c>
      <c r="G24" s="39" t="s">
        <v>14</v>
      </c>
      <c r="H24" s="39">
        <v>0.75</v>
      </c>
      <c r="I24" s="39" t="s">
        <v>14</v>
      </c>
      <c r="J24" s="37" t="s">
        <v>14</v>
      </c>
      <c r="K24" s="37" t="s">
        <v>14</v>
      </c>
      <c r="L24" s="37">
        <v>20</v>
      </c>
      <c r="M24" s="2"/>
      <c r="N24" s="2"/>
      <c r="O24" s="2"/>
    </row>
    <row r="25" spans="1:15">
      <c r="A25">
        <v>24</v>
      </c>
      <c r="B25" t="s">
        <v>26</v>
      </c>
      <c r="C25" s="1">
        <v>46156</v>
      </c>
      <c r="D25" t="s">
        <v>16</v>
      </c>
      <c r="E25" s="1">
        <v>46156</v>
      </c>
      <c r="F25" s="2">
        <v>0.375</v>
      </c>
      <c r="G25" s="2">
        <v>0.37570601851851854</v>
      </c>
      <c r="H25" s="2">
        <v>0.75</v>
      </c>
      <c r="I25" s="2">
        <v>0.75230324074074073</v>
      </c>
      <c r="J25">
        <v>9</v>
      </c>
      <c r="K25">
        <v>9.02</v>
      </c>
      <c r="L25">
        <v>20</v>
      </c>
      <c r="M25" s="2">
        <f t="shared" si="0"/>
        <v>7.0601851851853636E-4</v>
      </c>
      <c r="N25" s="2">
        <f t="shared" si="1"/>
        <v>2.3032407407407307E-3</v>
      </c>
      <c r="O25" s="2">
        <f t="shared" si="2"/>
        <v>1.5972222222221943E-3</v>
      </c>
    </row>
    <row r="26" spans="1:15">
      <c r="A26">
        <v>25</v>
      </c>
      <c r="B26" t="s">
        <v>26</v>
      </c>
      <c r="C26" s="1">
        <v>46157</v>
      </c>
      <c r="D26" t="s">
        <v>17</v>
      </c>
      <c r="E26" s="1">
        <v>46157</v>
      </c>
      <c r="F26" s="2">
        <v>0.375</v>
      </c>
      <c r="G26" s="2">
        <v>0.38630787037037034</v>
      </c>
      <c r="H26" s="2">
        <v>0.75</v>
      </c>
      <c r="I26" s="2">
        <v>0.7527314814814815</v>
      </c>
      <c r="J26">
        <v>9</v>
      </c>
      <c r="K26">
        <v>8.4700000000000006</v>
      </c>
      <c r="L26">
        <v>20</v>
      </c>
      <c r="M26" s="2">
        <f t="shared" si="0"/>
        <v>1.1307870370370343E-2</v>
      </c>
      <c r="N26" s="2">
        <f t="shared" si="1"/>
        <v>2.7314814814815014E-3</v>
      </c>
      <c r="O26" s="2">
        <f>M26-N26</f>
        <v>8.5763888888888418E-3</v>
      </c>
    </row>
    <row r="27" spans="1:15">
      <c r="A27">
        <v>26</v>
      </c>
      <c r="B27" t="s">
        <v>26</v>
      </c>
      <c r="C27" s="1">
        <v>46158</v>
      </c>
      <c r="D27" t="s">
        <v>18</v>
      </c>
      <c r="E27" s="1">
        <v>46158</v>
      </c>
      <c r="F27" s="2">
        <v>0.375</v>
      </c>
      <c r="G27" s="2">
        <v>0.37650462962962961</v>
      </c>
      <c r="H27" s="2">
        <v>0.58333333333333337</v>
      </c>
      <c r="I27" s="2">
        <v>0.59084490740740736</v>
      </c>
      <c r="J27">
        <v>5</v>
      </c>
      <c r="K27">
        <v>5.08</v>
      </c>
      <c r="L27">
        <v>20</v>
      </c>
      <c r="M27" s="2">
        <f t="shared" si="0"/>
        <v>1.5046296296296058E-3</v>
      </c>
      <c r="N27" s="2">
        <f t="shared" si="1"/>
        <v>7.51157407407399E-3</v>
      </c>
      <c r="O27" s="2">
        <f t="shared" si="2"/>
        <v>6.0069444444443842E-3</v>
      </c>
    </row>
    <row r="28" spans="1:15">
      <c r="A28" s="4">
        <v>27</v>
      </c>
      <c r="B28" s="4" t="s">
        <v>26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2"/>
      <c r="N28" s="2"/>
      <c r="O28" s="2"/>
    </row>
    <row r="29" spans="1:15">
      <c r="A29">
        <v>28</v>
      </c>
      <c r="B29" t="s">
        <v>26</v>
      </c>
      <c r="C29" s="1">
        <v>46160</v>
      </c>
      <c r="D29" t="s">
        <v>20</v>
      </c>
      <c r="E29" s="1">
        <v>46160</v>
      </c>
      <c r="F29" s="2">
        <v>0.375</v>
      </c>
      <c r="G29" s="2">
        <v>0.38555555555555554</v>
      </c>
      <c r="H29" s="2">
        <v>0.75</v>
      </c>
      <c r="I29" s="2">
        <v>0.75057870370370372</v>
      </c>
      <c r="J29">
        <v>9</v>
      </c>
      <c r="K29">
        <v>8.4499999999999993</v>
      </c>
      <c r="L29">
        <v>21</v>
      </c>
      <c r="M29" s="2">
        <f t="shared" si="0"/>
        <v>1.055555555555554E-2</v>
      </c>
      <c r="N29" s="2">
        <f t="shared" si="1"/>
        <v>5.7870370370372015E-4</v>
      </c>
      <c r="O29" s="2">
        <f>M29-N29</f>
        <v>9.9768518518518201E-3</v>
      </c>
    </row>
    <row r="30" spans="1:15">
      <c r="A30" s="37">
        <v>29</v>
      </c>
      <c r="B30" s="37" t="s">
        <v>26</v>
      </c>
      <c r="C30" s="38">
        <v>46161</v>
      </c>
      <c r="D30" s="37" t="s">
        <v>13</v>
      </c>
      <c r="E30" s="38">
        <v>46161</v>
      </c>
      <c r="F30" s="39">
        <v>0.375</v>
      </c>
      <c r="G30" s="39" t="s">
        <v>14</v>
      </c>
      <c r="H30" s="39">
        <v>0.75</v>
      </c>
      <c r="I30" s="39" t="s">
        <v>14</v>
      </c>
      <c r="J30" s="37" t="s">
        <v>14</v>
      </c>
      <c r="K30" s="37" t="s">
        <v>14</v>
      </c>
      <c r="L30" s="37">
        <v>21</v>
      </c>
      <c r="M30" s="2"/>
      <c r="N30" s="2"/>
      <c r="O30" s="2"/>
    </row>
    <row r="31" spans="1:15">
      <c r="A31">
        <v>30</v>
      </c>
      <c r="B31" t="s">
        <v>26</v>
      </c>
      <c r="C31" s="1">
        <v>46162</v>
      </c>
      <c r="D31" t="s">
        <v>15</v>
      </c>
      <c r="E31" s="1">
        <v>46162</v>
      </c>
      <c r="F31" s="2">
        <v>0.33333333333333331</v>
      </c>
      <c r="G31" s="2">
        <v>0.33361111111111114</v>
      </c>
      <c r="H31" s="2">
        <v>0.70833333333333337</v>
      </c>
      <c r="I31" s="2">
        <v>0.70887731481481486</v>
      </c>
      <c r="J31">
        <v>9</v>
      </c>
      <c r="K31">
        <v>9</v>
      </c>
      <c r="L31">
        <v>21</v>
      </c>
      <c r="M31" s="2">
        <f t="shared" si="0"/>
        <v>2.777777777778212E-4</v>
      </c>
      <c r="N31" s="2">
        <f t="shared" si="1"/>
        <v>5.439814814814925E-4</v>
      </c>
      <c r="O31" s="2">
        <f t="shared" si="2"/>
        <v>2.662037037036713E-4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SUM(M11:M31)</f>
        <v>0.13730324074074074</v>
      </c>
      <c r="N32" s="18">
        <f>SUM(N11:N31)</f>
        <v>0.15253472222222197</v>
      </c>
    </row>
    <row r="33" spans="3:13">
      <c r="L33" t="s">
        <v>33</v>
      </c>
      <c r="M33" s="18">
        <f>N32-M32</f>
        <v>1.5231481481481235E-2</v>
      </c>
    </row>
    <row r="34" spans="3:13">
      <c r="L34" t="s">
        <v>64</v>
      </c>
      <c r="M34">
        <v>130.41</v>
      </c>
    </row>
    <row r="37" spans="3:13">
      <c r="C37" s="20" t="s">
        <v>34</v>
      </c>
      <c r="D37" s="21"/>
      <c r="E37" s="21"/>
      <c r="F37" s="21"/>
      <c r="G37" s="21"/>
      <c r="H37" s="21"/>
    </row>
    <row r="38" spans="3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3">
      <c r="C39" s="21" t="s">
        <v>36</v>
      </c>
      <c r="D39" s="21">
        <f>SUM(J2:J6)</f>
        <v>0</v>
      </c>
      <c r="E39" s="21">
        <f>SUM(J8:J13)</f>
        <v>23</v>
      </c>
      <c r="F39" s="21">
        <f>SUM(J15:J20)</f>
        <v>50</v>
      </c>
      <c r="G39" s="21">
        <f>SUM(J22:J27)</f>
        <v>41</v>
      </c>
      <c r="H39" s="21">
        <f>SUM(J29:J31)</f>
        <v>18</v>
      </c>
    </row>
    <row r="40" spans="3:13">
      <c r="C40" s="21" t="s">
        <v>37</v>
      </c>
      <c r="D40" s="21">
        <f>SUM(K2:K6)</f>
        <v>0</v>
      </c>
      <c r="E40" s="21">
        <f>SUM(K8:K13)</f>
        <v>23.61</v>
      </c>
      <c r="F40" s="21">
        <f>SUM(K15:K20)</f>
        <v>48.459999999999994</v>
      </c>
      <c r="G40" s="21">
        <f>SUM(K22:K27)</f>
        <v>40.89</v>
      </c>
      <c r="H40" s="21">
        <f>SUM(K29:K31)</f>
        <v>17.45</v>
      </c>
    </row>
    <row r="41" spans="3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3">
      <c r="C42" s="20" t="s">
        <v>40</v>
      </c>
      <c r="D42" s="21">
        <f>SUM(J2:J11)</f>
        <v>9</v>
      </c>
      <c r="E42" s="21">
        <f>SUM(J12:J31)</f>
        <v>123</v>
      </c>
      <c r="F42" s="21">
        <f>SUM(D42:E42)</f>
        <v>132</v>
      </c>
      <c r="G42" s="24"/>
      <c r="H42" s="24"/>
      <c r="J42" s="28"/>
      <c r="K42" s="24" t="s">
        <v>44</v>
      </c>
    </row>
    <row r="43" spans="3:13">
      <c r="C43" s="20" t="s">
        <v>41</v>
      </c>
      <c r="D43" s="21">
        <f>SUM(K2:K11)</f>
        <v>9.34</v>
      </c>
      <c r="E43" s="21">
        <f>SUM(K12:K31)</f>
        <v>121.07000000000001</v>
      </c>
      <c r="F43" s="21">
        <f>SUM(D43:E43)</f>
        <v>130.41</v>
      </c>
      <c r="G43" s="24"/>
      <c r="H43" s="24"/>
      <c r="J43" s="29"/>
      <c r="K43" s="24" t="s">
        <v>47</v>
      </c>
    </row>
    <row r="44" spans="3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3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3:13">
      <c r="C46" s="21" t="s">
        <v>43</v>
      </c>
      <c r="D46" s="21"/>
      <c r="E46" s="21">
        <v>27</v>
      </c>
      <c r="F46" s="24"/>
      <c r="G46" s="24"/>
      <c r="H46" s="24"/>
      <c r="J46" s="32"/>
      <c r="K46" s="24" t="s">
        <v>49</v>
      </c>
    </row>
    <row r="47" spans="3:13">
      <c r="C47" s="21" t="s">
        <v>44</v>
      </c>
      <c r="D47" s="21"/>
      <c r="E47" s="21">
        <v>3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47"/>
  <sheetViews>
    <sheetView topLeftCell="A31" workbookViewId="0">
      <selection activeCell="L32" sqref="L32:L34"/>
    </sheetView>
  </sheetViews>
  <sheetFormatPr defaultRowHeight="15"/>
  <cols>
    <col min="3" max="3" width="11" customWidth="1"/>
    <col min="4" max="4" width="9.85546875" customWidth="1"/>
    <col min="5" max="5" width="10.2851562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>
        <v>1</v>
      </c>
      <c r="B2" t="s">
        <v>27</v>
      </c>
      <c r="C2" s="1">
        <v>46133</v>
      </c>
      <c r="D2" t="s">
        <v>13</v>
      </c>
      <c r="E2" s="1">
        <v>46133</v>
      </c>
      <c r="F2" s="2">
        <v>0.375</v>
      </c>
      <c r="G2" s="2">
        <v>0.37579861111111112</v>
      </c>
      <c r="H2" s="2">
        <v>0.75</v>
      </c>
      <c r="I2" s="2">
        <v>0.7745023148148148</v>
      </c>
      <c r="J2">
        <v>9</v>
      </c>
      <c r="K2">
        <v>9.34</v>
      </c>
      <c r="L2">
        <v>17</v>
      </c>
      <c r="M2" s="2">
        <f>G2-F2</f>
        <v>7.9861111111112493E-4</v>
      </c>
      <c r="N2" s="2">
        <f>I2-H2</f>
        <v>2.4502314814814796E-2</v>
      </c>
      <c r="O2" s="2">
        <f>N2-M2</f>
        <v>2.3703703703703671E-2</v>
      </c>
    </row>
    <row r="3" spans="1:15">
      <c r="A3">
        <v>2</v>
      </c>
      <c r="B3" t="s">
        <v>27</v>
      </c>
      <c r="C3" s="1">
        <v>46134</v>
      </c>
      <c r="D3" t="s">
        <v>15</v>
      </c>
      <c r="E3" s="1">
        <v>46134</v>
      </c>
      <c r="F3" s="2">
        <v>0.375</v>
      </c>
      <c r="G3" s="2">
        <v>0.37697916666666664</v>
      </c>
      <c r="H3" s="2">
        <v>0.75</v>
      </c>
      <c r="I3" s="2">
        <v>0.79432870370370368</v>
      </c>
      <c r="J3">
        <v>9</v>
      </c>
      <c r="K3">
        <v>10</v>
      </c>
      <c r="L3">
        <v>17</v>
      </c>
      <c r="M3" s="2">
        <f t="shared" ref="M3:M31" si="0">G3-F3</f>
        <v>1.979166666666643E-3</v>
      </c>
      <c r="N3" s="2">
        <f t="shared" ref="N3:N31" si="1">I3-H3</f>
        <v>4.4328703703703676E-2</v>
      </c>
      <c r="O3" s="2">
        <f t="shared" ref="O3:O32" si="2">N3-M3</f>
        <v>4.2349537037037033E-2</v>
      </c>
    </row>
    <row r="4" spans="1:15">
      <c r="A4">
        <v>3</v>
      </c>
      <c r="B4" t="s">
        <v>27</v>
      </c>
      <c r="C4" s="1">
        <v>46135</v>
      </c>
      <c r="D4" t="s">
        <v>16</v>
      </c>
      <c r="E4" s="1">
        <v>46135</v>
      </c>
      <c r="F4" s="2">
        <v>0.375</v>
      </c>
      <c r="G4" s="2">
        <v>0.37440972222222224</v>
      </c>
      <c r="H4" s="2">
        <v>0.75</v>
      </c>
      <c r="I4" s="2">
        <v>0.77749999999999997</v>
      </c>
      <c r="J4">
        <v>9</v>
      </c>
      <c r="K4">
        <v>9.4</v>
      </c>
      <c r="L4">
        <v>17</v>
      </c>
      <c r="M4" s="2">
        <f>F4-G4</f>
        <v>5.9027777777775903E-4</v>
      </c>
      <c r="N4" s="2">
        <f t="shared" si="1"/>
        <v>2.7499999999999969E-2</v>
      </c>
      <c r="O4" s="2">
        <f t="shared" si="2"/>
        <v>2.690972222222221E-2</v>
      </c>
    </row>
    <row r="5" spans="1:15">
      <c r="A5">
        <v>4</v>
      </c>
      <c r="B5" t="s">
        <v>27</v>
      </c>
      <c r="C5" s="1">
        <v>46136</v>
      </c>
      <c r="D5" t="s">
        <v>17</v>
      </c>
      <c r="E5" s="1">
        <v>46136</v>
      </c>
      <c r="F5" s="2">
        <v>0.375</v>
      </c>
      <c r="G5" s="2">
        <v>0.36221064814814813</v>
      </c>
      <c r="H5" s="2">
        <v>0.75</v>
      </c>
      <c r="I5" s="2">
        <v>0.77530092592592592</v>
      </c>
      <c r="J5">
        <v>9</v>
      </c>
      <c r="K5">
        <v>9.5399999999999991</v>
      </c>
      <c r="L5">
        <v>17</v>
      </c>
      <c r="M5" s="2">
        <f>F5-G5</f>
        <v>1.2789351851851871E-2</v>
      </c>
      <c r="N5" s="2">
        <f t="shared" si="1"/>
        <v>2.5300925925925921E-2</v>
      </c>
      <c r="O5" s="2">
        <f t="shared" si="2"/>
        <v>1.251157407407405E-2</v>
      </c>
    </row>
    <row r="6" spans="1:15">
      <c r="A6">
        <v>5</v>
      </c>
      <c r="B6" t="s">
        <v>27</v>
      </c>
      <c r="C6" s="1">
        <v>46137</v>
      </c>
      <c r="D6" t="s">
        <v>18</v>
      </c>
      <c r="E6" s="1">
        <v>46137</v>
      </c>
      <c r="F6" s="2">
        <v>0.375</v>
      </c>
      <c r="G6" s="2">
        <v>0.3762847222222222</v>
      </c>
      <c r="H6" s="2">
        <v>0.58333333333333337</v>
      </c>
      <c r="I6" s="2">
        <v>0.62011574074074072</v>
      </c>
      <c r="J6">
        <v>5</v>
      </c>
      <c r="K6">
        <v>5.51</v>
      </c>
      <c r="L6">
        <v>17</v>
      </c>
      <c r="M6" s="2">
        <f t="shared" si="0"/>
        <v>1.284722222222201E-3</v>
      </c>
      <c r="N6" s="2">
        <f t="shared" si="1"/>
        <v>3.6782407407407347E-2</v>
      </c>
      <c r="O6" s="2">
        <f t="shared" si="2"/>
        <v>3.5497685185185146E-2</v>
      </c>
    </row>
    <row r="7" spans="1:15">
      <c r="A7" s="4">
        <v>6</v>
      </c>
      <c r="B7" s="4" t="s">
        <v>27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  <c r="M7" s="2"/>
      <c r="N7" s="2"/>
      <c r="O7" s="2"/>
    </row>
    <row r="8" spans="1:15">
      <c r="A8">
        <v>7</v>
      </c>
      <c r="B8" t="s">
        <v>27</v>
      </c>
      <c r="C8" s="1">
        <v>46139</v>
      </c>
      <c r="D8" t="s">
        <v>20</v>
      </c>
      <c r="E8" s="1">
        <v>46139</v>
      </c>
      <c r="F8" s="2">
        <v>0.375</v>
      </c>
      <c r="G8" s="2">
        <v>0.37403935185185183</v>
      </c>
      <c r="H8" s="2">
        <v>0.75</v>
      </c>
      <c r="I8" s="2">
        <v>0.75465277777777773</v>
      </c>
      <c r="J8">
        <v>9</v>
      </c>
      <c r="K8">
        <v>9.08</v>
      </c>
      <c r="L8">
        <v>18</v>
      </c>
      <c r="M8" s="2">
        <f>F8-G8</f>
        <v>9.6064814814816879E-4</v>
      </c>
      <c r="N8" s="2">
        <f t="shared" si="1"/>
        <v>4.6527777777777279E-3</v>
      </c>
      <c r="O8" s="2">
        <f t="shared" si="2"/>
        <v>3.6921296296295592E-3</v>
      </c>
    </row>
    <row r="9" spans="1:15">
      <c r="A9">
        <v>8</v>
      </c>
      <c r="B9" t="s">
        <v>27</v>
      </c>
      <c r="C9" s="1">
        <v>46140</v>
      </c>
      <c r="D9" t="s">
        <v>13</v>
      </c>
      <c r="E9" s="1">
        <v>46140</v>
      </c>
      <c r="F9" s="2">
        <v>0.375</v>
      </c>
      <c r="G9" s="2">
        <v>0.37526620370370373</v>
      </c>
      <c r="H9" s="2">
        <v>0.75</v>
      </c>
      <c r="I9" s="2">
        <v>0.75</v>
      </c>
      <c r="J9">
        <v>9</v>
      </c>
      <c r="K9">
        <v>9</v>
      </c>
      <c r="L9">
        <v>18</v>
      </c>
      <c r="M9" s="2">
        <f t="shared" si="0"/>
        <v>2.6620370370372681E-4</v>
      </c>
      <c r="N9" s="2">
        <f>I9-H9</f>
        <v>0</v>
      </c>
      <c r="O9" s="2">
        <f>M9-N9</f>
        <v>2.6620370370372681E-4</v>
      </c>
    </row>
    <row r="10" spans="1:15">
      <c r="A10">
        <v>9</v>
      </c>
      <c r="B10" t="s">
        <v>27</v>
      </c>
      <c r="C10" s="1">
        <v>46141</v>
      </c>
      <c r="D10" t="s">
        <v>15</v>
      </c>
      <c r="E10" s="1">
        <v>46141</v>
      </c>
      <c r="F10" s="2">
        <v>0.375</v>
      </c>
      <c r="G10" s="2">
        <v>0.37863425925925925</v>
      </c>
      <c r="H10" s="2">
        <v>0.75</v>
      </c>
      <c r="I10" s="2">
        <v>0.78172453703703704</v>
      </c>
      <c r="J10">
        <v>9</v>
      </c>
      <c r="K10">
        <v>9.4</v>
      </c>
      <c r="L10">
        <v>18</v>
      </c>
      <c r="M10" s="2">
        <f t="shared" si="0"/>
        <v>3.6342592592592537E-3</v>
      </c>
      <c r="N10" s="2">
        <f t="shared" si="1"/>
        <v>3.1724537037037037E-2</v>
      </c>
      <c r="O10" s="2">
        <f t="shared" si="2"/>
        <v>2.8090277777777783E-2</v>
      </c>
    </row>
    <row r="11" spans="1:15">
      <c r="A11">
        <v>10</v>
      </c>
      <c r="B11" t="s">
        <v>27</v>
      </c>
      <c r="C11" s="1">
        <v>46142</v>
      </c>
      <c r="D11" t="s">
        <v>16</v>
      </c>
      <c r="E11" s="1">
        <v>46142</v>
      </c>
      <c r="F11" s="2">
        <v>0.375</v>
      </c>
      <c r="G11" s="2">
        <v>0.37432870370370369</v>
      </c>
      <c r="H11" s="2">
        <v>0.75</v>
      </c>
      <c r="I11" s="2">
        <v>0.77620370370370373</v>
      </c>
      <c r="J11">
        <v>9</v>
      </c>
      <c r="K11">
        <v>9.3800000000000008</v>
      </c>
      <c r="L11">
        <v>18</v>
      </c>
      <c r="M11" s="2">
        <f>F11-G11</f>
        <v>6.7129629629630871E-4</v>
      </c>
      <c r="N11" s="2">
        <f t="shared" si="1"/>
        <v>2.6203703703703729E-2</v>
      </c>
      <c r="O11" s="2">
        <f t="shared" si="2"/>
        <v>2.553240740740742E-2</v>
      </c>
    </row>
    <row r="12" spans="1:15">
      <c r="A12" s="37">
        <v>11</v>
      </c>
      <c r="B12" s="37" t="s">
        <v>27</v>
      </c>
      <c r="C12" s="38">
        <v>46143</v>
      </c>
      <c r="D12" s="37" t="s">
        <v>17</v>
      </c>
      <c r="E12" s="38">
        <v>46143</v>
      </c>
      <c r="F12" s="39">
        <v>0.375</v>
      </c>
      <c r="G12" s="39" t="s">
        <v>14</v>
      </c>
      <c r="H12" s="39">
        <v>0.75</v>
      </c>
      <c r="I12" s="39" t="s">
        <v>14</v>
      </c>
      <c r="J12" s="37" t="s">
        <v>14</v>
      </c>
      <c r="K12" s="37" t="s">
        <v>14</v>
      </c>
      <c r="L12" s="37">
        <v>18</v>
      </c>
      <c r="M12" s="2"/>
      <c r="N12" s="2"/>
      <c r="O12" s="2"/>
    </row>
    <row r="13" spans="1:15">
      <c r="A13" s="37">
        <v>12</v>
      </c>
      <c r="B13" s="37" t="s">
        <v>27</v>
      </c>
      <c r="C13" s="38">
        <v>46144</v>
      </c>
      <c r="D13" s="37" t="s">
        <v>18</v>
      </c>
      <c r="E13" s="38">
        <v>46144</v>
      </c>
      <c r="F13" s="39">
        <v>0.375</v>
      </c>
      <c r="G13" s="39" t="s">
        <v>14</v>
      </c>
      <c r="H13" s="39">
        <v>0.58333333333333337</v>
      </c>
      <c r="I13" s="39" t="s">
        <v>14</v>
      </c>
      <c r="J13" s="37" t="s">
        <v>14</v>
      </c>
      <c r="K13" s="37" t="s">
        <v>14</v>
      </c>
      <c r="L13" s="37">
        <v>18</v>
      </c>
      <c r="M13" s="2"/>
      <c r="N13" s="2"/>
      <c r="O13" s="2"/>
    </row>
    <row r="14" spans="1:15">
      <c r="A14" s="43">
        <v>13</v>
      </c>
      <c r="B14" s="43" t="s">
        <v>27</v>
      </c>
      <c r="C14" s="44">
        <v>46145</v>
      </c>
      <c r="D14" s="43" t="s">
        <v>19</v>
      </c>
      <c r="E14" s="44">
        <v>46145</v>
      </c>
      <c r="F14" s="45">
        <v>0.375</v>
      </c>
      <c r="G14" s="45" t="s">
        <v>14</v>
      </c>
      <c r="H14" s="45">
        <v>0.75</v>
      </c>
      <c r="I14" s="45" t="s">
        <v>14</v>
      </c>
      <c r="J14" s="43" t="s">
        <v>14</v>
      </c>
      <c r="K14" s="43" t="s">
        <v>14</v>
      </c>
      <c r="L14" s="43">
        <v>19</v>
      </c>
      <c r="M14" s="2"/>
      <c r="N14" s="2"/>
      <c r="O14" s="2"/>
    </row>
    <row r="15" spans="1:15">
      <c r="A15" s="37">
        <v>14</v>
      </c>
      <c r="B15" s="37" t="s">
        <v>27</v>
      </c>
      <c r="C15" s="38">
        <v>46146</v>
      </c>
      <c r="D15" s="37" t="s">
        <v>20</v>
      </c>
      <c r="E15" s="38">
        <v>46146</v>
      </c>
      <c r="F15" s="39">
        <v>0.375</v>
      </c>
      <c r="G15" s="39" t="s">
        <v>14</v>
      </c>
      <c r="H15" s="39">
        <v>0.75</v>
      </c>
      <c r="I15" s="39" t="s">
        <v>14</v>
      </c>
      <c r="J15" s="37" t="s">
        <v>14</v>
      </c>
      <c r="K15" s="37" t="s">
        <v>14</v>
      </c>
      <c r="L15" s="37">
        <v>19</v>
      </c>
      <c r="M15" s="2"/>
      <c r="N15" s="2"/>
      <c r="O15" s="2"/>
    </row>
    <row r="16" spans="1:15">
      <c r="A16" s="37">
        <v>15</v>
      </c>
      <c r="B16" s="37" t="s">
        <v>27</v>
      </c>
      <c r="C16" s="38">
        <v>46147</v>
      </c>
      <c r="D16" s="37" t="s">
        <v>13</v>
      </c>
      <c r="E16" s="38">
        <v>46147</v>
      </c>
      <c r="F16" s="39">
        <v>0.375</v>
      </c>
      <c r="G16" s="39" t="s">
        <v>14</v>
      </c>
      <c r="H16" s="39">
        <v>0.75</v>
      </c>
      <c r="I16" s="39" t="s">
        <v>14</v>
      </c>
      <c r="J16" s="37" t="s">
        <v>14</v>
      </c>
      <c r="K16" s="37" t="s">
        <v>14</v>
      </c>
      <c r="L16" s="37">
        <v>19</v>
      </c>
      <c r="M16" s="2"/>
      <c r="N16" s="2"/>
      <c r="O16" s="2"/>
    </row>
    <row r="17" spans="1:15">
      <c r="A17" s="37">
        <v>16</v>
      </c>
      <c r="B17" s="37" t="s">
        <v>27</v>
      </c>
      <c r="C17" s="38">
        <v>46148</v>
      </c>
      <c r="D17" s="37" t="s">
        <v>15</v>
      </c>
      <c r="E17" s="38">
        <v>46148</v>
      </c>
      <c r="F17" s="39">
        <v>0.375</v>
      </c>
      <c r="G17" s="39" t="s">
        <v>14</v>
      </c>
      <c r="H17" s="39">
        <v>0.75</v>
      </c>
      <c r="I17" s="39" t="s">
        <v>14</v>
      </c>
      <c r="J17" s="37" t="s">
        <v>14</v>
      </c>
      <c r="K17" s="37" t="s">
        <v>14</v>
      </c>
      <c r="L17" s="37">
        <v>19</v>
      </c>
      <c r="M17" s="2"/>
      <c r="N17" s="2"/>
      <c r="O17" s="2"/>
    </row>
    <row r="18" spans="1:15">
      <c r="A18" s="37">
        <v>17</v>
      </c>
      <c r="B18" s="37" t="s">
        <v>27</v>
      </c>
      <c r="C18" s="38">
        <v>46149</v>
      </c>
      <c r="D18" s="37" t="s">
        <v>16</v>
      </c>
      <c r="E18" s="38">
        <v>46149</v>
      </c>
      <c r="F18" s="39">
        <v>0.375</v>
      </c>
      <c r="G18" s="39" t="s">
        <v>14</v>
      </c>
      <c r="H18" s="39">
        <v>0.75</v>
      </c>
      <c r="I18" s="39" t="s">
        <v>14</v>
      </c>
      <c r="J18" s="37" t="s">
        <v>14</v>
      </c>
      <c r="K18" s="37" t="s">
        <v>14</v>
      </c>
      <c r="L18" s="37">
        <v>19</v>
      </c>
      <c r="M18" s="2"/>
      <c r="N18" s="2"/>
      <c r="O18" s="2"/>
    </row>
    <row r="19" spans="1:15">
      <c r="A19" s="37">
        <v>18</v>
      </c>
      <c r="B19" s="37" t="s">
        <v>27</v>
      </c>
      <c r="C19" s="38">
        <v>46150</v>
      </c>
      <c r="D19" s="37" t="s">
        <v>17</v>
      </c>
      <c r="E19" s="38">
        <v>46150</v>
      </c>
      <c r="F19" s="39">
        <v>0.375</v>
      </c>
      <c r="G19" s="39" t="s">
        <v>14</v>
      </c>
      <c r="H19" s="39">
        <v>0.75</v>
      </c>
      <c r="I19" s="39" t="s">
        <v>14</v>
      </c>
      <c r="J19" s="37" t="s">
        <v>14</v>
      </c>
      <c r="K19" s="37" t="s">
        <v>14</v>
      </c>
      <c r="L19" s="37">
        <v>19</v>
      </c>
      <c r="M19" s="2"/>
      <c r="N19" s="2"/>
      <c r="O19" s="2"/>
    </row>
    <row r="20" spans="1:15">
      <c r="A20" s="37">
        <v>19</v>
      </c>
      <c r="B20" s="37" t="s">
        <v>27</v>
      </c>
      <c r="C20" s="38">
        <v>46151</v>
      </c>
      <c r="D20" s="37" t="s">
        <v>18</v>
      </c>
      <c r="E20" s="38">
        <v>46151</v>
      </c>
      <c r="F20" s="39">
        <v>0.375</v>
      </c>
      <c r="G20" s="39" t="s">
        <v>14</v>
      </c>
      <c r="H20" s="39">
        <v>0.58333333333333337</v>
      </c>
      <c r="I20" s="39" t="s">
        <v>14</v>
      </c>
      <c r="J20" s="37" t="s">
        <v>14</v>
      </c>
      <c r="K20" s="37" t="s">
        <v>14</v>
      </c>
      <c r="L20" s="37">
        <v>19</v>
      </c>
      <c r="M20" s="2"/>
      <c r="N20" s="2"/>
      <c r="O20" s="2"/>
    </row>
    <row r="21" spans="1:15">
      <c r="A21" s="4">
        <v>20</v>
      </c>
      <c r="B21" s="4" t="s">
        <v>27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>
        <v>21</v>
      </c>
      <c r="B22" t="s">
        <v>27</v>
      </c>
      <c r="C22" s="1">
        <v>46153</v>
      </c>
      <c r="D22" t="s">
        <v>20</v>
      </c>
      <c r="E22" s="1">
        <v>46153</v>
      </c>
      <c r="F22" s="2">
        <v>0.375</v>
      </c>
      <c r="G22" s="2">
        <v>0.37290509259259258</v>
      </c>
      <c r="H22" s="2">
        <v>0.75</v>
      </c>
      <c r="I22" s="2">
        <v>0.76421296296296293</v>
      </c>
      <c r="J22">
        <v>9</v>
      </c>
      <c r="K22">
        <v>9.23</v>
      </c>
      <c r="L22">
        <v>20</v>
      </c>
      <c r="M22" s="2">
        <f t="shared" ref="M22:M27" si="3">F22-G22</f>
        <v>2.0949074074074203E-3</v>
      </c>
      <c r="N22" s="2">
        <f t="shared" si="1"/>
        <v>1.4212962962962927E-2</v>
      </c>
      <c r="O22" s="2">
        <f t="shared" si="2"/>
        <v>1.2118055555555507E-2</v>
      </c>
    </row>
    <row r="23" spans="1:15">
      <c r="A23">
        <v>22</v>
      </c>
      <c r="B23" t="s">
        <v>27</v>
      </c>
      <c r="C23" s="1">
        <v>46154</v>
      </c>
      <c r="D23" t="s">
        <v>13</v>
      </c>
      <c r="E23" s="1">
        <v>46154</v>
      </c>
      <c r="F23" s="2">
        <v>0.375</v>
      </c>
      <c r="G23" s="2">
        <v>0.37392361111111111</v>
      </c>
      <c r="H23" s="2">
        <v>0.75</v>
      </c>
      <c r="I23" s="2">
        <v>0.76704861111111111</v>
      </c>
      <c r="J23">
        <v>9</v>
      </c>
      <c r="K23">
        <v>9.26</v>
      </c>
      <c r="L23">
        <v>20</v>
      </c>
      <c r="M23" s="2">
        <f t="shared" si="3"/>
        <v>1.0763888888888906E-3</v>
      </c>
      <c r="N23" s="2">
        <f t="shared" si="1"/>
        <v>1.7048611111111112E-2</v>
      </c>
      <c r="O23" s="2">
        <f t="shared" si="2"/>
        <v>1.5972222222222221E-2</v>
      </c>
    </row>
    <row r="24" spans="1:15">
      <c r="A24">
        <v>23</v>
      </c>
      <c r="B24" t="s">
        <v>27</v>
      </c>
      <c r="C24" s="1">
        <v>46155</v>
      </c>
      <c r="D24" t="s">
        <v>15</v>
      </c>
      <c r="E24" s="1">
        <v>46155</v>
      </c>
      <c r="F24" s="2">
        <v>0.375</v>
      </c>
      <c r="G24" s="2">
        <v>0.37159722222222225</v>
      </c>
      <c r="H24" s="2">
        <v>0.75</v>
      </c>
      <c r="I24" s="2">
        <v>0.79166666666666663</v>
      </c>
      <c r="J24">
        <v>9</v>
      </c>
      <c r="K24">
        <v>10.039999999999999</v>
      </c>
      <c r="L24">
        <v>20</v>
      </c>
      <c r="M24" s="2">
        <f t="shared" si="3"/>
        <v>3.4027777777777546E-3</v>
      </c>
      <c r="N24" s="2">
        <f t="shared" si="1"/>
        <v>4.166666666666663E-2</v>
      </c>
      <c r="O24" s="2">
        <f t="shared" si="2"/>
        <v>3.8263888888888875E-2</v>
      </c>
    </row>
    <row r="25" spans="1:15">
      <c r="A25">
        <v>24</v>
      </c>
      <c r="B25" t="s">
        <v>27</v>
      </c>
      <c r="C25" s="1">
        <v>46156</v>
      </c>
      <c r="D25" t="s">
        <v>16</v>
      </c>
      <c r="E25" s="1">
        <v>46156</v>
      </c>
      <c r="F25" s="2">
        <v>0.375</v>
      </c>
      <c r="G25" s="2">
        <v>0.37212962962962964</v>
      </c>
      <c r="H25" s="2">
        <v>0.75</v>
      </c>
      <c r="I25" s="2">
        <v>0.77444444444444449</v>
      </c>
      <c r="J25">
        <v>9</v>
      </c>
      <c r="K25">
        <v>9.39</v>
      </c>
      <c r="L25">
        <v>20</v>
      </c>
      <c r="M25" s="2">
        <f t="shared" si="3"/>
        <v>2.8703703703703565E-3</v>
      </c>
      <c r="N25" s="2">
        <f t="shared" si="1"/>
        <v>2.4444444444444491E-2</v>
      </c>
      <c r="O25" s="2">
        <f t="shared" si="2"/>
        <v>2.1574074074074134E-2</v>
      </c>
    </row>
    <row r="26" spans="1:15">
      <c r="A26">
        <v>25</v>
      </c>
      <c r="B26" t="s">
        <v>27</v>
      </c>
      <c r="C26" s="1">
        <v>46157</v>
      </c>
      <c r="D26" t="s">
        <v>17</v>
      </c>
      <c r="E26" s="1">
        <v>46157</v>
      </c>
      <c r="F26" s="2">
        <v>0.375</v>
      </c>
      <c r="G26" s="2">
        <v>0.37392361111111111</v>
      </c>
      <c r="H26" s="2">
        <v>0.75</v>
      </c>
      <c r="I26" s="2">
        <v>0.78498842592592588</v>
      </c>
      <c r="J26">
        <v>9</v>
      </c>
      <c r="K26">
        <v>9.51</v>
      </c>
      <c r="L26">
        <v>20</v>
      </c>
      <c r="M26" s="2">
        <f t="shared" si="3"/>
        <v>1.0763888888888906E-3</v>
      </c>
      <c r="N26" s="2">
        <f t="shared" si="1"/>
        <v>3.4988425925925881E-2</v>
      </c>
      <c r="O26" s="2">
        <f t="shared" si="2"/>
        <v>3.3912037037036991E-2</v>
      </c>
    </row>
    <row r="27" spans="1:15">
      <c r="A27">
        <v>26</v>
      </c>
      <c r="B27" t="s">
        <v>27</v>
      </c>
      <c r="C27" s="1">
        <v>46158</v>
      </c>
      <c r="D27" t="s">
        <v>18</v>
      </c>
      <c r="E27" s="1">
        <v>46158</v>
      </c>
      <c r="F27" s="2">
        <v>0.375</v>
      </c>
      <c r="G27" s="2">
        <v>0.37432870370370369</v>
      </c>
      <c r="H27" s="2">
        <v>0.58333333333333337</v>
      </c>
      <c r="I27" s="2">
        <v>0.61195601851851855</v>
      </c>
      <c r="J27">
        <v>5</v>
      </c>
      <c r="K27">
        <v>5.42</v>
      </c>
      <c r="L27">
        <v>20</v>
      </c>
      <c r="M27" s="2">
        <f t="shared" si="3"/>
        <v>6.7129629629630871E-4</v>
      </c>
      <c r="N27" s="2">
        <f t="shared" si="1"/>
        <v>2.8622685185185182E-2</v>
      </c>
      <c r="O27" s="2">
        <f t="shared" si="2"/>
        <v>2.7951388888888873E-2</v>
      </c>
    </row>
    <row r="28" spans="1:15">
      <c r="A28" s="4">
        <v>27</v>
      </c>
      <c r="B28" s="4" t="s">
        <v>27</v>
      </c>
      <c r="C28" s="5">
        <v>46159</v>
      </c>
      <c r="D28" s="4" t="s">
        <v>19</v>
      </c>
      <c r="E28" s="5">
        <v>46159</v>
      </c>
      <c r="F28" s="6">
        <v>0.375</v>
      </c>
      <c r="G28" s="6">
        <v>0.55173611111111109</v>
      </c>
      <c r="H28" s="6">
        <v>0.75</v>
      </c>
      <c r="I28" s="6">
        <v>0.79831018518518515</v>
      </c>
      <c r="J28" s="4">
        <v>9</v>
      </c>
      <c r="K28" s="4">
        <v>5.55</v>
      </c>
      <c r="L28" s="4">
        <v>21</v>
      </c>
      <c r="M28" s="2"/>
      <c r="N28" s="2"/>
      <c r="O28" s="2"/>
    </row>
    <row r="29" spans="1:15">
      <c r="A29">
        <v>28</v>
      </c>
      <c r="B29" t="s">
        <v>27</v>
      </c>
      <c r="C29" s="1">
        <v>46160</v>
      </c>
      <c r="D29" t="s">
        <v>20</v>
      </c>
      <c r="E29" s="1">
        <v>46160</v>
      </c>
      <c r="F29" s="2">
        <v>0.375</v>
      </c>
      <c r="G29" s="2">
        <v>0.37123842592592593</v>
      </c>
      <c r="H29" s="2">
        <v>0.75</v>
      </c>
      <c r="I29" s="2">
        <v>0.77872685185185186</v>
      </c>
      <c r="J29">
        <v>9</v>
      </c>
      <c r="K29">
        <v>9.4600000000000009</v>
      </c>
      <c r="L29">
        <v>21</v>
      </c>
      <c r="M29" s="2">
        <f t="shared" ref="M29:M31" si="4">F29-G29</f>
        <v>3.76157407407407E-3</v>
      </c>
      <c r="N29" s="2">
        <f t="shared" si="1"/>
        <v>2.8726851851851865E-2</v>
      </c>
      <c r="O29" s="2">
        <f t="shared" si="2"/>
        <v>2.4965277777777795E-2</v>
      </c>
    </row>
    <row r="30" spans="1:15">
      <c r="A30">
        <v>29</v>
      </c>
      <c r="B30" t="s">
        <v>27</v>
      </c>
      <c r="C30" s="1">
        <v>46161</v>
      </c>
      <c r="D30" t="s">
        <v>13</v>
      </c>
      <c r="E30" s="1">
        <v>46161</v>
      </c>
      <c r="F30" s="2">
        <v>0.375</v>
      </c>
      <c r="G30" s="2">
        <v>0.37050925925925926</v>
      </c>
      <c r="H30" s="2">
        <v>0.75</v>
      </c>
      <c r="I30" s="2">
        <v>0.78125</v>
      </c>
      <c r="J30">
        <v>9</v>
      </c>
      <c r="K30">
        <v>9.51</v>
      </c>
      <c r="L30">
        <v>21</v>
      </c>
      <c r="M30" s="2">
        <f t="shared" si="4"/>
        <v>4.4907407407407396E-3</v>
      </c>
      <c r="N30" s="2">
        <f t="shared" si="1"/>
        <v>3.125E-2</v>
      </c>
      <c r="O30" s="2">
        <f t="shared" si="2"/>
        <v>2.675925925925926E-2</v>
      </c>
    </row>
    <row r="31" spans="1:15">
      <c r="A31">
        <v>30</v>
      </c>
      <c r="B31" t="s">
        <v>27</v>
      </c>
      <c r="C31" s="1">
        <v>46162</v>
      </c>
      <c r="D31" t="s">
        <v>15</v>
      </c>
      <c r="E31" s="1">
        <v>46162</v>
      </c>
      <c r="F31" s="2">
        <v>0.375</v>
      </c>
      <c r="G31" s="2">
        <v>0.37283564814814812</v>
      </c>
      <c r="H31" s="2">
        <v>0.75</v>
      </c>
      <c r="I31" s="2">
        <v>0.78427083333333336</v>
      </c>
      <c r="J31">
        <v>9</v>
      </c>
      <c r="K31">
        <v>9.52</v>
      </c>
      <c r="L31">
        <v>21</v>
      </c>
      <c r="M31" s="2">
        <f t="shared" si="4"/>
        <v>2.1643518518518756E-3</v>
      </c>
      <c r="N31" s="2">
        <f t="shared" si="1"/>
        <v>3.4270833333333361E-2</v>
      </c>
      <c r="O31" s="2">
        <f t="shared" si="2"/>
        <v>3.2106481481481486E-2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SUM(M2:M3,M6,M9:M10,)</f>
        <v>7.9629629629629495E-3</v>
      </c>
      <c r="N32" s="18">
        <f>SUM(N2:N31)</f>
        <v>0.47622685185185165</v>
      </c>
      <c r="O32" s="2"/>
    </row>
    <row r="33" spans="3:14">
      <c r="L33" t="s">
        <v>33</v>
      </c>
      <c r="M33" s="18">
        <f>N32-M32</f>
        <v>0.4682638888888887</v>
      </c>
      <c r="N33" s="18"/>
    </row>
    <row r="34" spans="3:14">
      <c r="L34" t="s">
        <v>64</v>
      </c>
      <c r="M34">
        <v>167.54</v>
      </c>
    </row>
    <row r="37" spans="3:14">
      <c r="C37" s="20" t="s">
        <v>34</v>
      </c>
      <c r="D37" s="21"/>
      <c r="E37" s="21"/>
      <c r="F37" s="21"/>
      <c r="G37" s="21"/>
      <c r="H37" s="21"/>
    </row>
    <row r="38" spans="3:14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4">
      <c r="C39" s="21" t="s">
        <v>36</v>
      </c>
      <c r="D39" s="21">
        <f>SUM(J2:J6)</f>
        <v>41</v>
      </c>
      <c r="E39" s="21">
        <f>SUM(J8:J13)</f>
        <v>36</v>
      </c>
      <c r="F39" s="21">
        <f>SUM(J15:J20)</f>
        <v>0</v>
      </c>
      <c r="G39" s="21">
        <f>SUM(J22:J27)</f>
        <v>50</v>
      </c>
      <c r="H39" s="21">
        <f>SUM(J29:J31)</f>
        <v>27</v>
      </c>
    </row>
    <row r="40" spans="3:14">
      <c r="C40" s="21" t="s">
        <v>37</v>
      </c>
      <c r="D40" s="21">
        <f>SUM(K2:K6)</f>
        <v>43.79</v>
      </c>
      <c r="E40" s="21">
        <f>SUM(K8:K13)</f>
        <v>36.86</v>
      </c>
      <c r="F40" s="21">
        <f>SUM(K15:K20)</f>
        <v>0</v>
      </c>
      <c r="G40" s="21">
        <f>SUM(K22:K27)</f>
        <v>52.85</v>
      </c>
      <c r="H40" s="21">
        <f>SUM(K29:K31)</f>
        <v>28.49</v>
      </c>
    </row>
    <row r="41" spans="3:14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4">
      <c r="C42" s="20" t="s">
        <v>40</v>
      </c>
      <c r="D42" s="21">
        <f>SUM(J2:J11)</f>
        <v>77</v>
      </c>
      <c r="E42" s="21">
        <f>SUM(J12:J31)</f>
        <v>86</v>
      </c>
      <c r="F42" s="21">
        <f>SUM(D42:E42)</f>
        <v>163</v>
      </c>
      <c r="G42" s="24"/>
      <c r="H42" s="24"/>
      <c r="J42" s="28"/>
      <c r="K42" s="24" t="s">
        <v>44</v>
      </c>
    </row>
    <row r="43" spans="3:14">
      <c r="C43" s="20" t="s">
        <v>41</v>
      </c>
      <c r="D43" s="21">
        <f>SUM(K2:K11)</f>
        <v>80.649999999999991</v>
      </c>
      <c r="E43" s="21">
        <f>SUM(K12:K31)</f>
        <v>86.89</v>
      </c>
      <c r="F43" s="21">
        <f>SUM(D43:E43)</f>
        <v>167.54</v>
      </c>
      <c r="G43" s="24"/>
      <c r="H43" s="24"/>
      <c r="J43" s="29"/>
      <c r="K43" s="24" t="s">
        <v>47</v>
      </c>
    </row>
    <row r="44" spans="3:14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4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3:14">
      <c r="C46" s="21" t="s">
        <v>43</v>
      </c>
      <c r="D46" s="21"/>
      <c r="E46" s="21">
        <v>21</v>
      </c>
      <c r="F46" s="24"/>
      <c r="G46" s="24"/>
      <c r="H46" s="24"/>
      <c r="J46" s="32"/>
      <c r="K46" s="24" t="s">
        <v>49</v>
      </c>
    </row>
    <row r="47" spans="3:14">
      <c r="C47" s="21" t="s">
        <v>44</v>
      </c>
      <c r="D47" s="21"/>
      <c r="E47" s="21">
        <v>9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7"/>
  <sheetViews>
    <sheetView topLeftCell="A25" workbookViewId="0">
      <selection activeCell="G46" sqref="G46"/>
    </sheetView>
  </sheetViews>
  <sheetFormatPr defaultRowHeight="15"/>
  <cols>
    <col min="3" max="3" width="9.7109375" customWidth="1"/>
    <col min="5" max="5" width="9.570312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C2" s="1"/>
      <c r="E2" s="1"/>
      <c r="F2" s="2"/>
      <c r="G2" s="2"/>
      <c r="H2" s="2"/>
      <c r="I2" s="2"/>
    </row>
    <row r="3" spans="1:15">
      <c r="C3" s="1"/>
      <c r="E3" s="1"/>
      <c r="F3" s="2"/>
      <c r="G3" s="2"/>
      <c r="H3" s="2"/>
      <c r="I3" s="2"/>
    </row>
    <row r="4" spans="1:15">
      <c r="C4" s="1"/>
      <c r="E4" s="1"/>
      <c r="F4" s="2"/>
      <c r="G4" s="2"/>
      <c r="H4" s="2"/>
      <c r="I4" s="2"/>
    </row>
    <row r="5" spans="1:15">
      <c r="C5" s="1"/>
      <c r="E5" s="1"/>
      <c r="F5" s="2"/>
      <c r="G5" s="2"/>
      <c r="H5" s="2"/>
      <c r="I5" s="2"/>
    </row>
    <row r="6" spans="1:15">
      <c r="C6" s="1"/>
      <c r="E6" s="1"/>
      <c r="F6" s="2"/>
      <c r="G6" s="2"/>
      <c r="H6" s="2"/>
      <c r="I6" s="2"/>
    </row>
    <row r="7" spans="1:15">
      <c r="C7" s="1"/>
      <c r="E7" s="1"/>
      <c r="F7" s="2"/>
      <c r="G7" s="2"/>
      <c r="H7" s="2"/>
      <c r="I7" s="2"/>
    </row>
    <row r="8" spans="1:15">
      <c r="C8" s="1"/>
      <c r="E8" s="1"/>
      <c r="F8" s="2"/>
      <c r="G8" s="2"/>
      <c r="H8" s="2"/>
      <c r="I8" s="2"/>
    </row>
    <row r="9" spans="1:15">
      <c r="C9" s="1"/>
      <c r="E9" s="1"/>
      <c r="F9" s="2"/>
      <c r="G9" s="2"/>
      <c r="H9" s="2"/>
      <c r="I9" s="2"/>
    </row>
    <row r="10" spans="1:15">
      <c r="C10" s="1"/>
      <c r="E10" s="1"/>
      <c r="F10" s="2"/>
      <c r="G10" s="2"/>
      <c r="H10" s="2"/>
      <c r="I10" s="2"/>
    </row>
    <row r="11" spans="1:15">
      <c r="C11" s="1"/>
      <c r="E11" s="1"/>
      <c r="F11" s="2"/>
      <c r="G11" s="2"/>
      <c r="H11" s="2"/>
      <c r="I11" s="2"/>
    </row>
    <row r="12" spans="1:15">
      <c r="C12" s="1"/>
      <c r="E12" s="1"/>
      <c r="F12" s="2"/>
      <c r="G12" s="2"/>
      <c r="H12" s="2"/>
      <c r="I12" s="2"/>
    </row>
    <row r="13" spans="1:15">
      <c r="C13" s="1"/>
      <c r="E13" s="1"/>
      <c r="F13" s="2"/>
      <c r="G13" s="2"/>
      <c r="H13" s="2"/>
      <c r="I13" s="2"/>
    </row>
    <row r="14" spans="1:15">
      <c r="C14" s="1"/>
      <c r="E14" s="1"/>
      <c r="F14" s="2"/>
      <c r="G14" s="2"/>
      <c r="H14" s="2"/>
      <c r="I14" s="2"/>
    </row>
    <row r="15" spans="1:15">
      <c r="A15">
        <v>14</v>
      </c>
      <c r="B15" t="s">
        <v>28</v>
      </c>
      <c r="C15" s="1">
        <v>46146</v>
      </c>
      <c r="D15" t="s">
        <v>20</v>
      </c>
      <c r="E15" s="1">
        <v>46146</v>
      </c>
      <c r="F15" s="2">
        <v>0.375</v>
      </c>
      <c r="G15" s="2">
        <v>0.375</v>
      </c>
      <c r="H15" s="2">
        <v>0.75</v>
      </c>
      <c r="I15" s="2">
        <v>0.75</v>
      </c>
      <c r="J15">
        <v>9</v>
      </c>
      <c r="K15">
        <v>9</v>
      </c>
      <c r="L15">
        <v>19</v>
      </c>
      <c r="M15" s="2">
        <f>F15-G15</f>
        <v>0</v>
      </c>
      <c r="N15" s="2">
        <f>I15-H15</f>
        <v>0</v>
      </c>
      <c r="O15" s="2">
        <f>N15-M15</f>
        <v>0</v>
      </c>
    </row>
    <row r="16" spans="1:15">
      <c r="A16">
        <v>15</v>
      </c>
      <c r="B16" t="s">
        <v>28</v>
      </c>
      <c r="C16" s="1">
        <v>46147</v>
      </c>
      <c r="D16" t="s">
        <v>13</v>
      </c>
      <c r="E16" s="1">
        <v>46147</v>
      </c>
      <c r="F16" s="2">
        <v>0.375</v>
      </c>
      <c r="G16" s="2">
        <v>0.37305555555555553</v>
      </c>
      <c r="H16" s="2">
        <v>0.75</v>
      </c>
      <c r="I16" s="2">
        <v>0.75143518518518515</v>
      </c>
      <c r="J16">
        <v>9</v>
      </c>
      <c r="K16">
        <v>9.0399999999999991</v>
      </c>
      <c r="L16">
        <v>19</v>
      </c>
      <c r="M16" s="2">
        <f t="shared" ref="M16:M31" si="0">F16-G16</f>
        <v>1.9444444444444708E-3</v>
      </c>
      <c r="N16" s="2">
        <f t="shared" ref="N16:N31" si="1">I16-H16</f>
        <v>1.4351851851851505E-3</v>
      </c>
      <c r="O16" s="2">
        <f>M16-N16</f>
        <v>5.0925925925932036E-4</v>
      </c>
    </row>
    <row r="17" spans="1:15">
      <c r="A17">
        <v>16</v>
      </c>
      <c r="B17" t="s">
        <v>28</v>
      </c>
      <c r="C17" s="1">
        <v>46148</v>
      </c>
      <c r="D17" t="s">
        <v>15</v>
      </c>
      <c r="E17" s="1">
        <v>46148</v>
      </c>
      <c r="F17" s="2">
        <v>0.375</v>
      </c>
      <c r="G17" s="2">
        <v>0.3692361111111111</v>
      </c>
      <c r="H17" s="2">
        <v>0.75</v>
      </c>
      <c r="I17" s="2">
        <v>0.75248842592592591</v>
      </c>
      <c r="J17">
        <v>9</v>
      </c>
      <c r="K17">
        <v>9.11</v>
      </c>
      <c r="L17">
        <v>19</v>
      </c>
      <c r="M17" s="2">
        <f t="shared" si="0"/>
        <v>5.7638888888889017E-3</v>
      </c>
      <c r="N17" s="2">
        <f t="shared" si="1"/>
        <v>2.4884259259259078E-3</v>
      </c>
      <c r="O17" s="2">
        <f>M17-N17</f>
        <v>3.2754629629629939E-3</v>
      </c>
    </row>
    <row r="18" spans="1:15">
      <c r="A18">
        <v>17</v>
      </c>
      <c r="B18" t="s">
        <v>28</v>
      </c>
      <c r="C18" s="1">
        <v>46149</v>
      </c>
      <c r="D18" t="s">
        <v>16</v>
      </c>
      <c r="E18" s="1">
        <v>46149</v>
      </c>
      <c r="F18" s="2">
        <v>0.375</v>
      </c>
      <c r="G18" s="2">
        <v>0.37405092592592593</v>
      </c>
      <c r="H18" s="2">
        <v>0.75</v>
      </c>
      <c r="I18" s="2">
        <v>0.75377314814814811</v>
      </c>
      <c r="J18">
        <v>9</v>
      </c>
      <c r="K18">
        <v>9.06</v>
      </c>
      <c r="L18">
        <v>19</v>
      </c>
      <c r="M18" s="2">
        <f t="shared" si="0"/>
        <v>9.490740740740744E-4</v>
      </c>
      <c r="N18" s="2">
        <f t="shared" si="1"/>
        <v>3.7731481481481088E-3</v>
      </c>
      <c r="O18" s="2">
        <f t="shared" ref="O16:O31" si="2">N18-M18</f>
        <v>2.8240740740740344E-3</v>
      </c>
    </row>
    <row r="19" spans="1:15">
      <c r="A19">
        <v>18</v>
      </c>
      <c r="B19" t="s">
        <v>28</v>
      </c>
      <c r="C19" s="1">
        <v>46150</v>
      </c>
      <c r="D19" t="s">
        <v>17</v>
      </c>
      <c r="E19" s="1">
        <v>46150</v>
      </c>
      <c r="F19" s="2">
        <v>0.375</v>
      </c>
      <c r="G19" s="2">
        <v>0.37390046296296298</v>
      </c>
      <c r="H19" s="2">
        <v>0.75</v>
      </c>
      <c r="I19" s="2">
        <v>0.74886574074074075</v>
      </c>
      <c r="J19">
        <v>9</v>
      </c>
      <c r="K19">
        <v>8.59</v>
      </c>
      <c r="L19">
        <v>19</v>
      </c>
      <c r="M19" s="2">
        <f t="shared" si="0"/>
        <v>1.0995370370370239E-3</v>
      </c>
      <c r="N19" s="2">
        <f>H19-I19</f>
        <v>1.1342592592592515E-3</v>
      </c>
      <c r="O19" s="2">
        <f t="shared" si="2"/>
        <v>3.472222222222765E-5</v>
      </c>
    </row>
    <row r="20" spans="1:15">
      <c r="A20">
        <v>19</v>
      </c>
      <c r="B20" t="s">
        <v>28</v>
      </c>
      <c r="C20" s="1">
        <v>46151</v>
      </c>
      <c r="D20" t="s">
        <v>18</v>
      </c>
      <c r="E20" s="1">
        <v>46151</v>
      </c>
      <c r="F20" s="2">
        <v>0.375</v>
      </c>
      <c r="G20" s="2">
        <v>0.37233796296296295</v>
      </c>
      <c r="H20" s="2">
        <v>0.58333333333333337</v>
      </c>
      <c r="I20" s="2">
        <v>0.58460648148148153</v>
      </c>
      <c r="J20">
        <v>5</v>
      </c>
      <c r="K20">
        <v>5.05</v>
      </c>
      <c r="L20">
        <v>19</v>
      </c>
      <c r="M20" s="2">
        <f t="shared" si="0"/>
        <v>2.6620370370370461E-3</v>
      </c>
      <c r="N20" s="2">
        <f t="shared" si="1"/>
        <v>1.2731481481481621E-3</v>
      </c>
      <c r="O20" s="2">
        <f>M20-N20</f>
        <v>1.388888888888884E-3</v>
      </c>
    </row>
    <row r="21" spans="1:15">
      <c r="A21" s="4">
        <v>20</v>
      </c>
      <c r="B21" s="4" t="s">
        <v>28</v>
      </c>
      <c r="C21" s="5">
        <v>46152</v>
      </c>
      <c r="D21" s="4" t="s">
        <v>19</v>
      </c>
      <c r="E21" s="5">
        <v>46152</v>
      </c>
      <c r="F21" s="6">
        <v>0.375</v>
      </c>
      <c r="G21" s="6" t="s">
        <v>14</v>
      </c>
      <c r="H21" s="6">
        <v>0.75</v>
      </c>
      <c r="I21" s="6" t="s">
        <v>14</v>
      </c>
      <c r="J21" s="4" t="s">
        <v>14</v>
      </c>
      <c r="K21" s="4" t="s">
        <v>14</v>
      </c>
      <c r="L21" s="4">
        <v>20</v>
      </c>
      <c r="M21" s="2"/>
      <c r="N21" s="2"/>
      <c r="O21" s="2"/>
    </row>
    <row r="22" spans="1:15">
      <c r="A22" s="37">
        <v>21</v>
      </c>
      <c r="B22" s="37" t="s">
        <v>28</v>
      </c>
      <c r="C22" s="38">
        <v>46153</v>
      </c>
      <c r="D22" s="37" t="s">
        <v>20</v>
      </c>
      <c r="E22" s="38">
        <v>46153</v>
      </c>
      <c r="F22" s="39">
        <v>0.375</v>
      </c>
      <c r="G22" s="39" t="s">
        <v>14</v>
      </c>
      <c r="H22" s="39">
        <v>0.75</v>
      </c>
      <c r="I22" s="39" t="s">
        <v>14</v>
      </c>
      <c r="J22" s="37" t="s">
        <v>14</v>
      </c>
      <c r="K22" s="37" t="s">
        <v>14</v>
      </c>
      <c r="L22" s="37">
        <v>20</v>
      </c>
      <c r="M22" s="2"/>
      <c r="N22" s="2"/>
      <c r="O22" s="2"/>
    </row>
    <row r="23" spans="1:15">
      <c r="A23" s="37">
        <v>22</v>
      </c>
      <c r="B23" s="37" t="s">
        <v>28</v>
      </c>
      <c r="C23" s="38">
        <v>46154</v>
      </c>
      <c r="D23" s="37" t="s">
        <v>13</v>
      </c>
      <c r="E23" s="38">
        <v>46154</v>
      </c>
      <c r="F23" s="39">
        <v>0.375</v>
      </c>
      <c r="G23" s="39" t="s">
        <v>14</v>
      </c>
      <c r="H23" s="39">
        <v>0.75</v>
      </c>
      <c r="I23" s="39" t="s">
        <v>14</v>
      </c>
      <c r="J23" s="37" t="s">
        <v>14</v>
      </c>
      <c r="K23" s="37" t="s">
        <v>14</v>
      </c>
      <c r="L23" s="37">
        <v>20</v>
      </c>
      <c r="M23" s="2"/>
      <c r="N23" s="2"/>
      <c r="O23" s="2"/>
    </row>
    <row r="24" spans="1:15">
      <c r="A24" s="37">
        <v>23</v>
      </c>
      <c r="B24" s="37" t="s">
        <v>28</v>
      </c>
      <c r="C24" s="38">
        <v>46155</v>
      </c>
      <c r="D24" s="37" t="s">
        <v>15</v>
      </c>
      <c r="E24" s="38">
        <v>46155</v>
      </c>
      <c r="F24" s="39">
        <v>0.375</v>
      </c>
      <c r="G24" s="39" t="s">
        <v>14</v>
      </c>
      <c r="H24" s="39">
        <v>0.75</v>
      </c>
      <c r="I24" s="39" t="s">
        <v>14</v>
      </c>
      <c r="J24" s="37" t="s">
        <v>14</v>
      </c>
      <c r="K24" s="37" t="s">
        <v>14</v>
      </c>
      <c r="L24" s="37">
        <v>20</v>
      </c>
      <c r="M24" s="2"/>
      <c r="N24" s="2"/>
      <c r="O24" s="2"/>
    </row>
    <row r="25" spans="1:15">
      <c r="A25" s="37">
        <v>24</v>
      </c>
      <c r="B25" s="37" t="s">
        <v>28</v>
      </c>
      <c r="C25" s="38">
        <v>46156</v>
      </c>
      <c r="D25" s="37" t="s">
        <v>16</v>
      </c>
      <c r="E25" s="38">
        <v>46156</v>
      </c>
      <c r="F25" s="39">
        <v>0.375</v>
      </c>
      <c r="G25" s="39" t="s">
        <v>14</v>
      </c>
      <c r="H25" s="39">
        <v>0.75</v>
      </c>
      <c r="I25" s="39" t="s">
        <v>14</v>
      </c>
      <c r="J25" s="37" t="s">
        <v>14</v>
      </c>
      <c r="K25" s="37" t="s">
        <v>14</v>
      </c>
      <c r="L25" s="37">
        <v>20</v>
      </c>
      <c r="M25" s="2"/>
      <c r="N25" s="2"/>
      <c r="O25" s="2"/>
    </row>
    <row r="26" spans="1:15">
      <c r="A26" s="37">
        <v>25</v>
      </c>
      <c r="B26" s="37" t="s">
        <v>28</v>
      </c>
      <c r="C26" s="38">
        <v>46157</v>
      </c>
      <c r="D26" s="37" t="s">
        <v>17</v>
      </c>
      <c r="E26" s="38">
        <v>46157</v>
      </c>
      <c r="F26" s="39">
        <v>0.375</v>
      </c>
      <c r="G26" s="39" t="s">
        <v>14</v>
      </c>
      <c r="H26" s="39">
        <v>0.75</v>
      </c>
      <c r="I26" s="39" t="s">
        <v>14</v>
      </c>
      <c r="J26" s="37" t="s">
        <v>14</v>
      </c>
      <c r="K26" s="37" t="s">
        <v>14</v>
      </c>
      <c r="L26" s="37">
        <v>20</v>
      </c>
      <c r="M26" s="2"/>
      <c r="N26" s="2"/>
      <c r="O26" s="2"/>
    </row>
    <row r="27" spans="1:15">
      <c r="A27" s="37">
        <v>26</v>
      </c>
      <c r="B27" s="37" t="s">
        <v>28</v>
      </c>
      <c r="C27" s="38">
        <v>46158</v>
      </c>
      <c r="D27" s="37" t="s">
        <v>18</v>
      </c>
      <c r="E27" s="38">
        <v>46158</v>
      </c>
      <c r="F27" s="39">
        <v>0.375</v>
      </c>
      <c r="G27" s="39" t="s">
        <v>14</v>
      </c>
      <c r="H27" s="39">
        <v>0.58333333333333337</v>
      </c>
      <c r="I27" s="39" t="s">
        <v>14</v>
      </c>
      <c r="J27" s="37" t="s">
        <v>14</v>
      </c>
      <c r="K27" s="37" t="s">
        <v>14</v>
      </c>
      <c r="L27" s="37">
        <v>20</v>
      </c>
      <c r="M27" s="2"/>
      <c r="N27" s="2"/>
      <c r="O27" s="2"/>
    </row>
    <row r="28" spans="1:15">
      <c r="A28" s="4">
        <v>27</v>
      </c>
      <c r="B28" s="4" t="s">
        <v>28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  <c r="M28" s="2"/>
      <c r="N28" s="2"/>
      <c r="O28" s="2"/>
    </row>
    <row r="29" spans="1:15">
      <c r="A29">
        <v>28</v>
      </c>
      <c r="B29" t="s">
        <v>28</v>
      </c>
      <c r="C29" s="1">
        <v>46160</v>
      </c>
      <c r="D29" t="s">
        <v>20</v>
      </c>
      <c r="E29" s="1">
        <v>46160</v>
      </c>
      <c r="F29" s="2">
        <v>0.33333333333333331</v>
      </c>
      <c r="G29" s="2">
        <v>0.33333333333333331</v>
      </c>
      <c r="H29" s="2">
        <v>0.70833333333333337</v>
      </c>
      <c r="I29" s="2">
        <v>0.70833333333333337</v>
      </c>
      <c r="J29">
        <v>9</v>
      </c>
      <c r="K29">
        <v>9</v>
      </c>
      <c r="L29">
        <v>21</v>
      </c>
      <c r="M29" s="2">
        <f t="shared" si="0"/>
        <v>0</v>
      </c>
      <c r="N29" s="2">
        <f t="shared" si="1"/>
        <v>0</v>
      </c>
      <c r="O29" s="2">
        <f t="shared" si="2"/>
        <v>0</v>
      </c>
    </row>
    <row r="30" spans="1:15">
      <c r="A30">
        <v>29</v>
      </c>
      <c r="B30" t="s">
        <v>28</v>
      </c>
      <c r="C30" s="1">
        <v>46161</v>
      </c>
      <c r="D30" t="s">
        <v>13</v>
      </c>
      <c r="E30" s="1">
        <v>46161</v>
      </c>
      <c r="F30" s="2">
        <v>0.33333333333333331</v>
      </c>
      <c r="G30" s="2">
        <v>0.35552083333333334</v>
      </c>
      <c r="H30" s="2">
        <v>0.70833333333333337</v>
      </c>
      <c r="I30" s="2">
        <v>0.71258101851851852</v>
      </c>
      <c r="J30">
        <v>9</v>
      </c>
      <c r="K30">
        <v>6.34</v>
      </c>
      <c r="L30">
        <v>21</v>
      </c>
      <c r="M30" s="2">
        <f>G30-F30</f>
        <v>2.2187500000000027E-2</v>
      </c>
      <c r="N30" s="2">
        <f t="shared" si="1"/>
        <v>4.247685185185146E-3</v>
      </c>
      <c r="O30" s="2">
        <f>M30-N30</f>
        <v>1.7939814814814881E-2</v>
      </c>
    </row>
    <row r="31" spans="1:15">
      <c r="A31">
        <v>30</v>
      </c>
      <c r="B31" t="s">
        <v>28</v>
      </c>
      <c r="C31" s="1">
        <v>46162</v>
      </c>
      <c r="D31" t="s">
        <v>15</v>
      </c>
      <c r="E31" s="1">
        <v>46162</v>
      </c>
      <c r="F31" s="2">
        <v>0.33333333333333331</v>
      </c>
      <c r="G31" s="2">
        <v>0.33024305555555555</v>
      </c>
      <c r="H31" s="2">
        <v>0.70833333333333337</v>
      </c>
      <c r="I31" s="2">
        <v>0.71026620370370375</v>
      </c>
      <c r="J31">
        <v>9</v>
      </c>
      <c r="K31">
        <v>9.07</v>
      </c>
      <c r="L31">
        <v>21</v>
      </c>
      <c r="M31" s="2">
        <f t="shared" si="0"/>
        <v>3.0902777777777612E-3</v>
      </c>
      <c r="N31" s="2">
        <f t="shared" si="1"/>
        <v>1.9328703703703765E-3</v>
      </c>
      <c r="O31" s="2">
        <f>M31-N31</f>
        <v>1.1574074074073848E-3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SUM(M30)</f>
        <v>2.2187500000000027E-2</v>
      </c>
      <c r="N32" s="18">
        <f>SUM(N15:N31)</f>
        <v>1.6284722222222103E-2</v>
      </c>
    </row>
    <row r="33" spans="3:13">
      <c r="L33" t="s">
        <v>66</v>
      </c>
      <c r="M33" s="39">
        <f>M32-N32</f>
        <v>5.9027777777779233E-3</v>
      </c>
    </row>
    <row r="34" spans="3:13">
      <c r="L34" t="s">
        <v>64</v>
      </c>
      <c r="M34">
        <v>74.260000000000005</v>
      </c>
    </row>
    <row r="37" spans="3:13">
      <c r="C37" s="20" t="s">
        <v>34</v>
      </c>
      <c r="D37" s="21"/>
      <c r="E37" s="21"/>
      <c r="F37" s="21"/>
      <c r="G37" s="21"/>
      <c r="H37" s="21"/>
    </row>
    <row r="38" spans="3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3:13">
      <c r="C39" s="21" t="s">
        <v>36</v>
      </c>
      <c r="D39" s="21">
        <f>SUM(J2:J6)</f>
        <v>0</v>
      </c>
      <c r="E39" s="21">
        <f>SUM(J8:J13)</f>
        <v>0</v>
      </c>
      <c r="F39" s="21">
        <f>SUM(J15:J20)</f>
        <v>50</v>
      </c>
      <c r="G39" s="21">
        <f>SUM(J22:J27)</f>
        <v>0</v>
      </c>
      <c r="H39" s="21">
        <f>SUM(J29:J31)</f>
        <v>27</v>
      </c>
    </row>
    <row r="40" spans="3:13">
      <c r="C40" s="21" t="s">
        <v>37</v>
      </c>
      <c r="D40" s="21">
        <f>SUM(K2:K6)</f>
        <v>0</v>
      </c>
      <c r="E40" s="21">
        <f>SUM(K8:K13)</f>
        <v>0</v>
      </c>
      <c r="F40" s="21">
        <f>SUM(K15:K20)</f>
        <v>49.849999999999994</v>
      </c>
      <c r="G40" s="21">
        <f>SUM(K22:K27)</f>
        <v>0</v>
      </c>
      <c r="H40" s="21">
        <f>SUM(K29:K31)</f>
        <v>24.41</v>
      </c>
    </row>
    <row r="41" spans="3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3:13">
      <c r="C42" s="20" t="s">
        <v>40</v>
      </c>
      <c r="D42" s="21">
        <f>SUM(J2:J11)</f>
        <v>0</v>
      </c>
      <c r="E42" s="21">
        <f>SUM(J12:J31)</f>
        <v>77</v>
      </c>
      <c r="F42" s="21">
        <f>SUM(D42:E42)</f>
        <v>77</v>
      </c>
      <c r="G42" s="24"/>
      <c r="H42" s="24"/>
      <c r="J42" s="28"/>
      <c r="K42" s="24" t="s">
        <v>44</v>
      </c>
    </row>
    <row r="43" spans="3:13">
      <c r="C43" s="20" t="s">
        <v>41</v>
      </c>
      <c r="D43" s="21">
        <f>SUM(K2:K11)</f>
        <v>0</v>
      </c>
      <c r="E43" s="21">
        <f>SUM(K12:K31)</f>
        <v>74.259999999999991</v>
      </c>
      <c r="F43" s="21">
        <f>SUM(D43:E43)</f>
        <v>74.259999999999991</v>
      </c>
      <c r="G43" s="24"/>
      <c r="H43" s="24"/>
      <c r="J43" s="29"/>
      <c r="K43" s="24" t="s">
        <v>47</v>
      </c>
    </row>
    <row r="44" spans="3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3:13">
      <c r="C45" s="20" t="s">
        <v>42</v>
      </c>
      <c r="D45" s="20"/>
      <c r="E45" s="21">
        <v>17</v>
      </c>
      <c r="F45" s="24"/>
      <c r="G45" s="24"/>
      <c r="H45" s="24"/>
      <c r="J45" s="31"/>
      <c r="K45" s="24" t="s">
        <v>19</v>
      </c>
    </row>
    <row r="46" spans="3:13">
      <c r="C46" s="21" t="s">
        <v>43</v>
      </c>
      <c r="D46" s="21"/>
      <c r="E46" s="21">
        <v>11</v>
      </c>
      <c r="F46" s="24"/>
      <c r="G46" s="24"/>
      <c r="H46" s="24"/>
      <c r="J46" s="32"/>
      <c r="K46" s="24" t="s">
        <v>49</v>
      </c>
    </row>
    <row r="47" spans="3:13">
      <c r="C47" s="21" t="s">
        <v>44</v>
      </c>
      <c r="D47" s="21"/>
      <c r="E47" s="21">
        <v>6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7"/>
  <sheetViews>
    <sheetView topLeftCell="A28" workbookViewId="0">
      <selection activeCell="G49" sqref="G49"/>
    </sheetView>
  </sheetViews>
  <sheetFormatPr defaultRowHeight="15"/>
  <cols>
    <col min="3" max="3" width="9.5703125" customWidth="1"/>
    <col min="5" max="5" width="9.7109375" customWidth="1"/>
    <col min="15" max="15" width="13.85546875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3" t="s">
        <v>29</v>
      </c>
      <c r="N1" s="3" t="s">
        <v>30</v>
      </c>
      <c r="O1" s="3" t="s">
        <v>31</v>
      </c>
    </row>
    <row r="2" spans="1:15">
      <c r="A2" s="48">
        <v>1</v>
      </c>
      <c r="B2" s="48" t="s">
        <v>51</v>
      </c>
      <c r="C2" s="49">
        <v>46133</v>
      </c>
      <c r="D2" s="48" t="s">
        <v>13</v>
      </c>
      <c r="E2" s="49">
        <v>46133</v>
      </c>
      <c r="F2" s="18">
        <v>0.375</v>
      </c>
      <c r="G2" s="18" t="s">
        <v>14</v>
      </c>
      <c r="H2" s="18">
        <v>0.75</v>
      </c>
      <c r="I2" s="18" t="s">
        <v>47</v>
      </c>
      <c r="J2" s="18" t="s">
        <v>47</v>
      </c>
      <c r="K2" s="18" t="s">
        <v>47</v>
      </c>
      <c r="L2" s="48">
        <v>17</v>
      </c>
    </row>
    <row r="3" spans="1:15">
      <c r="A3">
        <v>2</v>
      </c>
      <c r="B3" t="s">
        <v>51</v>
      </c>
      <c r="C3" s="1">
        <v>46134</v>
      </c>
      <c r="D3" t="s">
        <v>15</v>
      </c>
      <c r="E3" s="1">
        <v>46134</v>
      </c>
      <c r="F3" s="2">
        <v>0.375</v>
      </c>
      <c r="G3" s="2">
        <v>0.39999999999999997</v>
      </c>
      <c r="H3" s="2">
        <v>0.75</v>
      </c>
      <c r="I3" s="2">
        <v>0.76193287037037039</v>
      </c>
      <c r="J3">
        <v>9</v>
      </c>
      <c r="K3">
        <v>8.41</v>
      </c>
      <c r="L3">
        <v>17</v>
      </c>
      <c r="M3" s="2">
        <f>G3-F3</f>
        <v>2.4999999999999967E-2</v>
      </c>
      <c r="N3" s="2">
        <f>I3-H3</f>
        <v>1.1932870370370385E-2</v>
      </c>
      <c r="O3" s="2">
        <f>M3-N3</f>
        <v>1.3067129629629581E-2</v>
      </c>
    </row>
    <row r="4" spans="1:15">
      <c r="A4" s="48">
        <v>3</v>
      </c>
      <c r="B4" s="48" t="s">
        <v>51</v>
      </c>
      <c r="C4" s="49">
        <v>46135</v>
      </c>
      <c r="D4" s="48" t="s">
        <v>16</v>
      </c>
      <c r="E4" s="49">
        <v>46135</v>
      </c>
      <c r="F4" s="18">
        <v>0.375</v>
      </c>
      <c r="G4" s="18" t="s">
        <v>14</v>
      </c>
      <c r="H4" s="18">
        <v>0.75</v>
      </c>
      <c r="I4" s="18" t="s">
        <v>47</v>
      </c>
      <c r="J4" s="18" t="s">
        <v>47</v>
      </c>
      <c r="K4" s="18" t="s">
        <v>47</v>
      </c>
      <c r="L4" s="48">
        <v>17</v>
      </c>
    </row>
    <row r="5" spans="1:15">
      <c r="A5" s="48">
        <v>4</v>
      </c>
      <c r="B5" s="48" t="s">
        <v>51</v>
      </c>
      <c r="C5" s="49">
        <v>46136</v>
      </c>
      <c r="D5" s="48" t="s">
        <v>17</v>
      </c>
      <c r="E5" s="49">
        <v>46136</v>
      </c>
      <c r="F5" s="18">
        <v>0.375</v>
      </c>
      <c r="G5" s="18" t="s">
        <v>14</v>
      </c>
      <c r="H5" s="18">
        <v>0.75</v>
      </c>
      <c r="I5" s="18" t="s">
        <v>47</v>
      </c>
      <c r="J5" s="18" t="s">
        <v>47</v>
      </c>
      <c r="K5" s="18" t="s">
        <v>47</v>
      </c>
      <c r="L5" s="48">
        <v>17</v>
      </c>
    </row>
    <row r="6" spans="1:15">
      <c r="A6" s="48">
        <v>5</v>
      </c>
      <c r="B6" s="48" t="s">
        <v>51</v>
      </c>
      <c r="C6" s="49">
        <v>46137</v>
      </c>
      <c r="D6" s="48" t="s">
        <v>18</v>
      </c>
      <c r="E6" s="49">
        <v>46137</v>
      </c>
      <c r="F6" s="18">
        <v>0.375</v>
      </c>
      <c r="G6" s="18" t="s">
        <v>14</v>
      </c>
      <c r="H6" s="18">
        <v>0.58333333333333337</v>
      </c>
      <c r="I6" s="18" t="s">
        <v>47</v>
      </c>
      <c r="J6" s="18" t="s">
        <v>47</v>
      </c>
      <c r="K6" s="18" t="s">
        <v>47</v>
      </c>
      <c r="L6" s="48">
        <v>17</v>
      </c>
    </row>
    <row r="7" spans="1:15">
      <c r="A7" s="4">
        <v>6</v>
      </c>
      <c r="B7" s="4" t="s">
        <v>51</v>
      </c>
      <c r="C7" s="5">
        <v>46138</v>
      </c>
      <c r="D7" s="4" t="s">
        <v>19</v>
      </c>
      <c r="E7" s="5">
        <v>46138</v>
      </c>
      <c r="F7" s="6">
        <v>0.375</v>
      </c>
      <c r="G7" s="6" t="s">
        <v>14</v>
      </c>
      <c r="H7" s="6">
        <v>0.75</v>
      </c>
      <c r="I7" s="6" t="s">
        <v>14</v>
      </c>
      <c r="J7" s="4" t="s">
        <v>14</v>
      </c>
      <c r="K7" s="4" t="s">
        <v>14</v>
      </c>
      <c r="L7" s="4">
        <v>18</v>
      </c>
    </row>
    <row r="8" spans="1:15">
      <c r="A8">
        <v>7</v>
      </c>
      <c r="B8" t="s">
        <v>51</v>
      </c>
      <c r="C8" s="1">
        <v>46139</v>
      </c>
      <c r="D8" t="s">
        <v>20</v>
      </c>
      <c r="E8" s="1">
        <v>46139</v>
      </c>
      <c r="F8" s="2">
        <v>0.375</v>
      </c>
      <c r="G8" s="2">
        <v>0.44158564814814816</v>
      </c>
      <c r="H8" s="2">
        <v>0.75</v>
      </c>
      <c r="I8" s="2">
        <v>0.76019675925925922</v>
      </c>
      <c r="J8">
        <v>9</v>
      </c>
      <c r="K8">
        <v>7.38</v>
      </c>
      <c r="L8">
        <v>18</v>
      </c>
      <c r="M8" s="2">
        <f t="shared" ref="M8:M9" si="0">G8-F8</f>
        <v>6.6585648148148158E-2</v>
      </c>
      <c r="N8" s="2">
        <f t="shared" ref="N8:N9" si="1">I8-H8</f>
        <v>1.0196759259259225E-2</v>
      </c>
      <c r="O8" s="2">
        <f t="shared" ref="O8:O9" si="2">M8-N8</f>
        <v>5.6388888888888933E-2</v>
      </c>
    </row>
    <row r="9" spans="1:15">
      <c r="A9">
        <v>8</v>
      </c>
      <c r="B9" t="s">
        <v>51</v>
      </c>
      <c r="C9" s="1">
        <v>46140</v>
      </c>
      <c r="D9" t="s">
        <v>13</v>
      </c>
      <c r="E9" s="1">
        <v>46140</v>
      </c>
      <c r="F9" s="2">
        <v>0.375</v>
      </c>
      <c r="G9" s="2">
        <v>0.40400462962962963</v>
      </c>
      <c r="H9" s="2">
        <v>0.75</v>
      </c>
      <c r="I9" s="2">
        <v>0.75947916666666671</v>
      </c>
      <c r="J9">
        <v>9</v>
      </c>
      <c r="K9">
        <v>8.31</v>
      </c>
      <c r="L9">
        <v>18</v>
      </c>
      <c r="M9" s="2">
        <f t="shared" si="0"/>
        <v>2.900462962962963E-2</v>
      </c>
      <c r="N9" s="2">
        <f t="shared" si="1"/>
        <v>9.4791666666667052E-3</v>
      </c>
      <c r="O9" s="2">
        <f t="shared" si="2"/>
        <v>1.9525462962962925E-2</v>
      </c>
    </row>
    <row r="10" spans="1:15">
      <c r="A10" s="48">
        <v>9</v>
      </c>
      <c r="B10" s="48" t="s">
        <v>51</v>
      </c>
      <c r="C10" s="49">
        <v>46141</v>
      </c>
      <c r="D10" s="48" t="s">
        <v>15</v>
      </c>
      <c r="E10" s="49">
        <v>46141</v>
      </c>
      <c r="F10" s="18">
        <v>0.375</v>
      </c>
      <c r="G10" s="18" t="s">
        <v>14</v>
      </c>
      <c r="H10" s="18">
        <v>0.75</v>
      </c>
      <c r="I10" s="18" t="s">
        <v>47</v>
      </c>
      <c r="J10" s="18" t="s">
        <v>47</v>
      </c>
      <c r="K10" s="18" t="s">
        <v>47</v>
      </c>
      <c r="L10" s="48">
        <v>18</v>
      </c>
    </row>
    <row r="11" spans="1:15">
      <c r="A11">
        <v>10</v>
      </c>
      <c r="B11" t="s">
        <v>51</v>
      </c>
      <c r="C11" s="1">
        <v>46142</v>
      </c>
      <c r="D11" t="s">
        <v>16</v>
      </c>
      <c r="E11" s="1">
        <v>46142</v>
      </c>
      <c r="F11" s="2">
        <v>0.375</v>
      </c>
      <c r="G11" s="2">
        <v>0.40055555555555555</v>
      </c>
      <c r="H11" s="2">
        <v>0.75</v>
      </c>
      <c r="I11" s="2">
        <v>0.77034722222222218</v>
      </c>
      <c r="J11">
        <v>9</v>
      </c>
      <c r="K11">
        <v>8.52</v>
      </c>
      <c r="L11">
        <v>18</v>
      </c>
      <c r="M11" s="2">
        <f t="shared" ref="M11:M13" si="3">G11-F11</f>
        <v>2.5555555555555554E-2</v>
      </c>
      <c r="N11" s="2">
        <f t="shared" ref="N11:N13" si="4">I11-H11</f>
        <v>2.0347222222222183E-2</v>
      </c>
      <c r="O11" s="2">
        <f t="shared" ref="O11:O13" si="5">M11-N11</f>
        <v>5.2083333333333703E-3</v>
      </c>
    </row>
    <row r="12" spans="1:15">
      <c r="A12">
        <v>11</v>
      </c>
      <c r="B12" t="s">
        <v>51</v>
      </c>
      <c r="C12" s="1">
        <v>46143</v>
      </c>
      <c r="D12" t="s">
        <v>17</v>
      </c>
      <c r="E12" s="1">
        <v>46143</v>
      </c>
      <c r="F12" s="2">
        <v>0.375</v>
      </c>
      <c r="G12" s="2">
        <v>0.3982060185185185</v>
      </c>
      <c r="H12" s="2">
        <v>0.75</v>
      </c>
      <c r="I12" s="2">
        <v>0.76313657407407409</v>
      </c>
      <c r="J12">
        <v>9</v>
      </c>
      <c r="K12">
        <v>8.4499999999999993</v>
      </c>
      <c r="L12">
        <v>18</v>
      </c>
      <c r="M12" s="2">
        <f t="shared" si="3"/>
        <v>2.3206018518518501E-2</v>
      </c>
      <c r="N12" s="2">
        <f t="shared" si="4"/>
        <v>1.3136574074074092E-2</v>
      </c>
      <c r="O12" s="2">
        <f t="shared" si="5"/>
        <v>1.0069444444444409E-2</v>
      </c>
    </row>
    <row r="13" spans="1:15">
      <c r="A13">
        <v>12</v>
      </c>
      <c r="B13" t="s">
        <v>51</v>
      </c>
      <c r="C13" s="1">
        <v>46144</v>
      </c>
      <c r="D13" t="s">
        <v>18</v>
      </c>
      <c r="E13" s="1">
        <v>46144</v>
      </c>
      <c r="F13" s="2">
        <v>0.375</v>
      </c>
      <c r="G13" s="2">
        <v>0.39556712962962964</v>
      </c>
      <c r="H13" s="2">
        <v>0.58333333333333337</v>
      </c>
      <c r="I13" s="2">
        <v>0.60329861111111116</v>
      </c>
      <c r="J13">
        <v>5</v>
      </c>
      <c r="K13">
        <v>4.59</v>
      </c>
      <c r="L13">
        <v>18</v>
      </c>
      <c r="M13" s="2">
        <f t="shared" si="3"/>
        <v>2.0567129629629644E-2</v>
      </c>
      <c r="N13" s="2">
        <f t="shared" si="4"/>
        <v>1.996527777777779E-2</v>
      </c>
      <c r="O13" s="2">
        <f t="shared" si="5"/>
        <v>6.0185185185185341E-4</v>
      </c>
    </row>
    <row r="14" spans="1:15">
      <c r="A14" s="4">
        <v>13</v>
      </c>
      <c r="B14" s="4" t="s">
        <v>51</v>
      </c>
      <c r="C14" s="5">
        <v>46145</v>
      </c>
      <c r="D14" s="4" t="s">
        <v>19</v>
      </c>
      <c r="E14" s="5">
        <v>46145</v>
      </c>
      <c r="F14" s="6">
        <v>0.375</v>
      </c>
      <c r="G14" s="6" t="s">
        <v>14</v>
      </c>
      <c r="H14" s="6">
        <v>0.75</v>
      </c>
      <c r="I14" s="6" t="s">
        <v>14</v>
      </c>
      <c r="J14" s="4" t="s">
        <v>14</v>
      </c>
      <c r="K14" s="4" t="s">
        <v>14</v>
      </c>
      <c r="L14" s="4">
        <v>19</v>
      </c>
    </row>
    <row r="15" spans="1:15">
      <c r="A15" s="37">
        <v>14</v>
      </c>
      <c r="B15" s="37" t="s">
        <v>51</v>
      </c>
      <c r="C15" s="38">
        <v>46146</v>
      </c>
      <c r="D15" s="37" t="s">
        <v>20</v>
      </c>
      <c r="E15" s="38">
        <v>46146</v>
      </c>
      <c r="F15" s="39">
        <v>0.375</v>
      </c>
      <c r="G15" s="39" t="s">
        <v>14</v>
      </c>
      <c r="H15" s="39">
        <v>0.75</v>
      </c>
      <c r="I15" s="39" t="s">
        <v>14</v>
      </c>
      <c r="J15" s="37" t="s">
        <v>14</v>
      </c>
      <c r="K15" s="37" t="s">
        <v>14</v>
      </c>
      <c r="L15" s="37">
        <v>19</v>
      </c>
    </row>
    <row r="16" spans="1:15">
      <c r="A16">
        <v>15</v>
      </c>
      <c r="B16" t="s">
        <v>51</v>
      </c>
      <c r="C16" s="1">
        <v>46147</v>
      </c>
      <c r="D16" t="s">
        <v>13</v>
      </c>
      <c r="E16" s="1">
        <v>46147</v>
      </c>
      <c r="F16" s="2">
        <v>0.375</v>
      </c>
      <c r="G16" s="2">
        <v>0.48891203703703706</v>
      </c>
      <c r="H16" s="2">
        <v>0.75</v>
      </c>
      <c r="I16" s="2">
        <v>0.76164351851851853</v>
      </c>
      <c r="J16">
        <v>9</v>
      </c>
      <c r="K16">
        <v>6.32</v>
      </c>
      <c r="L16">
        <v>19</v>
      </c>
      <c r="M16" s="2">
        <f t="shared" ref="M16:M19" si="6">G16-F16</f>
        <v>0.11391203703703706</v>
      </c>
      <c r="N16" s="2">
        <f t="shared" ref="N16:N19" si="7">I16-H16</f>
        <v>1.1643518518518525E-2</v>
      </c>
      <c r="O16" s="2">
        <f t="shared" ref="O16:O19" si="8">M16-N16</f>
        <v>0.10226851851851854</v>
      </c>
    </row>
    <row r="17" spans="1:15">
      <c r="A17">
        <v>16</v>
      </c>
      <c r="B17" t="s">
        <v>51</v>
      </c>
      <c r="C17" s="1">
        <v>46148</v>
      </c>
      <c r="D17" t="s">
        <v>15</v>
      </c>
      <c r="E17" s="1">
        <v>46148</v>
      </c>
      <c r="F17" s="2">
        <v>0.375</v>
      </c>
      <c r="G17" s="2">
        <v>0.43458333333333332</v>
      </c>
      <c r="H17" s="2">
        <v>0.75</v>
      </c>
      <c r="I17" s="2">
        <v>0.7612268518518519</v>
      </c>
      <c r="J17">
        <v>9</v>
      </c>
      <c r="K17">
        <v>7.5</v>
      </c>
      <c r="L17">
        <v>19</v>
      </c>
      <c r="M17" s="2">
        <f t="shared" si="6"/>
        <v>5.9583333333333321E-2</v>
      </c>
      <c r="N17" s="2">
        <f t="shared" si="7"/>
        <v>1.1226851851851904E-2</v>
      </c>
      <c r="O17" s="2">
        <f t="shared" si="8"/>
        <v>4.8356481481481417E-2</v>
      </c>
    </row>
    <row r="18" spans="1:15">
      <c r="A18">
        <v>17</v>
      </c>
      <c r="B18" t="s">
        <v>51</v>
      </c>
      <c r="C18" s="1">
        <v>46149</v>
      </c>
      <c r="D18" t="s">
        <v>16</v>
      </c>
      <c r="E18" s="1">
        <v>46149</v>
      </c>
      <c r="F18" s="2">
        <v>0.375</v>
      </c>
      <c r="G18" s="2">
        <v>0.43255787037037036</v>
      </c>
      <c r="H18" s="2">
        <v>0.75</v>
      </c>
      <c r="I18" s="2">
        <v>0.76811342592592591</v>
      </c>
      <c r="J18">
        <v>9</v>
      </c>
      <c r="K18">
        <v>8.0299999999999994</v>
      </c>
      <c r="L18">
        <v>19</v>
      </c>
      <c r="M18" s="2">
        <f t="shared" si="6"/>
        <v>5.7557870370370356E-2</v>
      </c>
      <c r="N18" s="2">
        <f t="shared" si="7"/>
        <v>1.8113425925925908E-2</v>
      </c>
      <c r="O18" s="2">
        <f t="shared" si="8"/>
        <v>3.9444444444444449E-2</v>
      </c>
    </row>
    <row r="19" spans="1:15">
      <c r="A19">
        <v>18</v>
      </c>
      <c r="B19" t="s">
        <v>51</v>
      </c>
      <c r="C19" s="1">
        <v>46150</v>
      </c>
      <c r="D19" t="s">
        <v>17</v>
      </c>
      <c r="E19" s="1">
        <v>46150</v>
      </c>
      <c r="F19" s="2">
        <v>0.375</v>
      </c>
      <c r="G19" s="2">
        <v>0.41837962962962966</v>
      </c>
      <c r="H19" s="2">
        <v>0.75</v>
      </c>
      <c r="I19" s="2">
        <v>0.7575925925925926</v>
      </c>
      <c r="J19">
        <v>9</v>
      </c>
      <c r="K19">
        <v>8.08</v>
      </c>
      <c r="L19">
        <v>19</v>
      </c>
      <c r="M19" s="2">
        <f t="shared" si="6"/>
        <v>4.3379629629629657E-2</v>
      </c>
      <c r="N19" s="2">
        <f t="shared" si="7"/>
        <v>7.5925925925925952E-3</v>
      </c>
      <c r="O19" s="2">
        <f t="shared" si="8"/>
        <v>3.5787037037037062E-2</v>
      </c>
    </row>
    <row r="20" spans="1:15">
      <c r="A20" s="37">
        <v>19</v>
      </c>
      <c r="B20" s="37" t="s">
        <v>51</v>
      </c>
      <c r="C20" s="38">
        <v>46151</v>
      </c>
      <c r="D20" s="37" t="s">
        <v>18</v>
      </c>
      <c r="E20" s="38">
        <v>46151</v>
      </c>
      <c r="F20" s="39">
        <v>0.375</v>
      </c>
      <c r="G20" s="39" t="s">
        <v>14</v>
      </c>
      <c r="H20" s="39">
        <v>0.58333333333333337</v>
      </c>
      <c r="I20" s="39" t="s">
        <v>14</v>
      </c>
      <c r="J20" s="37" t="s">
        <v>14</v>
      </c>
      <c r="K20" s="37" t="s">
        <v>14</v>
      </c>
      <c r="L20" s="37">
        <v>19</v>
      </c>
    </row>
    <row r="21" spans="1:15">
      <c r="A21" s="43">
        <v>20</v>
      </c>
      <c r="B21" s="43" t="s">
        <v>51</v>
      </c>
      <c r="C21" s="44">
        <v>46152</v>
      </c>
      <c r="D21" s="43" t="s">
        <v>19</v>
      </c>
      <c r="E21" s="44">
        <v>46152</v>
      </c>
      <c r="F21" s="45">
        <v>0.375</v>
      </c>
      <c r="G21" s="45" t="s">
        <v>14</v>
      </c>
      <c r="H21" s="45">
        <v>0.75</v>
      </c>
      <c r="I21" s="45" t="s">
        <v>14</v>
      </c>
      <c r="J21" s="43" t="s">
        <v>14</v>
      </c>
      <c r="K21" s="43" t="s">
        <v>14</v>
      </c>
      <c r="L21" s="43">
        <v>20</v>
      </c>
    </row>
    <row r="22" spans="1:15">
      <c r="A22" s="37">
        <v>21</v>
      </c>
      <c r="B22" s="37" t="s">
        <v>51</v>
      </c>
      <c r="C22" s="38">
        <v>46153</v>
      </c>
      <c r="D22" s="37" t="s">
        <v>20</v>
      </c>
      <c r="E22" s="38">
        <v>46153</v>
      </c>
      <c r="F22" s="39">
        <v>0.375</v>
      </c>
      <c r="G22" s="39" t="s">
        <v>14</v>
      </c>
      <c r="H22" s="39">
        <v>0.75</v>
      </c>
      <c r="I22" s="39" t="s">
        <v>14</v>
      </c>
      <c r="J22" s="37" t="s">
        <v>14</v>
      </c>
      <c r="K22" s="37" t="s">
        <v>14</v>
      </c>
      <c r="L22" s="37">
        <v>20</v>
      </c>
    </row>
    <row r="23" spans="1:15">
      <c r="A23">
        <v>22</v>
      </c>
      <c r="B23" t="s">
        <v>51</v>
      </c>
      <c r="C23" s="1">
        <v>46154</v>
      </c>
      <c r="D23" t="s">
        <v>13</v>
      </c>
      <c r="E23" s="1">
        <v>46154</v>
      </c>
      <c r="F23" s="2">
        <v>0.375</v>
      </c>
      <c r="G23" s="2">
        <v>0.41706018518518517</v>
      </c>
      <c r="H23" s="2">
        <v>0.75</v>
      </c>
      <c r="I23" s="2">
        <v>0.76457175925925924</v>
      </c>
      <c r="J23">
        <v>9</v>
      </c>
      <c r="K23">
        <v>8.1999999999999993</v>
      </c>
      <c r="L23">
        <v>20</v>
      </c>
      <c r="M23" s="2">
        <f t="shared" ref="M23:M24" si="9">G23-F23</f>
        <v>4.2060185185185173E-2</v>
      </c>
      <c r="N23" s="2">
        <f t="shared" ref="N23:N24" si="10">I23-H23</f>
        <v>1.4571759259259243E-2</v>
      </c>
      <c r="O23" s="2">
        <f t="shared" ref="O23:O24" si="11">M23-N23</f>
        <v>2.748842592592593E-2</v>
      </c>
    </row>
    <row r="24" spans="1:15">
      <c r="A24">
        <v>23</v>
      </c>
      <c r="B24" t="s">
        <v>51</v>
      </c>
      <c r="C24" s="1">
        <v>46155</v>
      </c>
      <c r="D24" t="s">
        <v>15</v>
      </c>
      <c r="E24" s="1">
        <v>46155</v>
      </c>
      <c r="F24" s="2">
        <v>0.375</v>
      </c>
      <c r="G24" s="2">
        <v>0.41939814814814813</v>
      </c>
      <c r="H24" s="2">
        <v>0.75</v>
      </c>
      <c r="I24" s="2">
        <v>0.78043981481481484</v>
      </c>
      <c r="J24">
        <v>9</v>
      </c>
      <c r="K24">
        <v>8.39</v>
      </c>
      <c r="L24">
        <v>20</v>
      </c>
      <c r="M24" s="2">
        <f t="shared" si="9"/>
        <v>4.4398148148148131E-2</v>
      </c>
      <c r="N24" s="2">
        <f t="shared" si="10"/>
        <v>3.0439814814814836E-2</v>
      </c>
      <c r="O24" s="2">
        <f t="shared" si="11"/>
        <v>1.3958333333333295E-2</v>
      </c>
    </row>
    <row r="25" spans="1:15">
      <c r="A25" s="46">
        <v>24</v>
      </c>
      <c r="B25" s="46" t="s">
        <v>51</v>
      </c>
      <c r="C25" s="47">
        <v>46156</v>
      </c>
      <c r="D25" s="46" t="s">
        <v>16</v>
      </c>
      <c r="E25" s="47">
        <v>46156</v>
      </c>
      <c r="F25" s="17">
        <v>0.375</v>
      </c>
      <c r="G25" s="17" t="s">
        <v>14</v>
      </c>
      <c r="H25" s="17">
        <v>0.75</v>
      </c>
      <c r="I25" s="17" t="s">
        <v>59</v>
      </c>
      <c r="J25" s="17" t="s">
        <v>59</v>
      </c>
      <c r="K25" s="17" t="s">
        <v>59</v>
      </c>
      <c r="L25" s="46">
        <v>20</v>
      </c>
    </row>
    <row r="26" spans="1:15">
      <c r="A26">
        <v>25</v>
      </c>
      <c r="B26" t="s">
        <v>51</v>
      </c>
      <c r="C26" s="1">
        <v>46157</v>
      </c>
      <c r="D26" t="s">
        <v>17</v>
      </c>
      <c r="E26" s="1">
        <v>46157</v>
      </c>
      <c r="F26" s="2">
        <v>0.375</v>
      </c>
      <c r="G26" s="2">
        <v>0.41770833333333335</v>
      </c>
      <c r="H26" s="2">
        <v>0.75</v>
      </c>
      <c r="I26" s="2">
        <v>0.7590972222222222</v>
      </c>
      <c r="J26">
        <v>9</v>
      </c>
      <c r="K26">
        <v>8.11</v>
      </c>
      <c r="L26">
        <v>20</v>
      </c>
      <c r="M26" s="2">
        <f t="shared" ref="M26:M27" si="12">G26-F26</f>
        <v>4.2708333333333348E-2</v>
      </c>
      <c r="N26" s="2">
        <f t="shared" ref="N26:N27" si="13">I26-H26</f>
        <v>9.097222222222201E-3</v>
      </c>
      <c r="O26" s="2">
        <f t="shared" ref="O26:O27" si="14">M26-N26</f>
        <v>3.3611111111111147E-2</v>
      </c>
    </row>
    <row r="27" spans="1:15">
      <c r="A27">
        <v>26</v>
      </c>
      <c r="B27" t="s">
        <v>51</v>
      </c>
      <c r="C27" s="1">
        <v>46158</v>
      </c>
      <c r="D27" t="s">
        <v>18</v>
      </c>
      <c r="E27" s="1">
        <v>46158</v>
      </c>
      <c r="F27" s="2">
        <v>0.375</v>
      </c>
      <c r="G27" s="2">
        <v>0.41585648148148147</v>
      </c>
      <c r="H27" s="2">
        <v>0.58333333333333337</v>
      </c>
      <c r="I27" s="2">
        <v>0.60811342592592588</v>
      </c>
      <c r="J27">
        <v>5</v>
      </c>
      <c r="K27">
        <v>4.3600000000000003</v>
      </c>
      <c r="L27">
        <v>20</v>
      </c>
      <c r="M27" s="2">
        <f t="shared" si="12"/>
        <v>4.0856481481481466E-2</v>
      </c>
      <c r="N27" s="2">
        <f t="shared" si="13"/>
        <v>2.4780092592592506E-2</v>
      </c>
      <c r="O27" s="2">
        <f t="shared" si="14"/>
        <v>1.6076388888888959E-2</v>
      </c>
    </row>
    <row r="28" spans="1:15">
      <c r="A28" s="4">
        <v>27</v>
      </c>
      <c r="B28" s="4" t="s">
        <v>51</v>
      </c>
      <c r="C28" s="5">
        <v>46159</v>
      </c>
      <c r="D28" s="4" t="s">
        <v>19</v>
      </c>
      <c r="E28" s="5">
        <v>46159</v>
      </c>
      <c r="F28" s="6">
        <v>0.375</v>
      </c>
      <c r="G28" s="6" t="s">
        <v>14</v>
      </c>
      <c r="H28" s="6">
        <v>0.75</v>
      </c>
      <c r="I28" s="6" t="s">
        <v>14</v>
      </c>
      <c r="J28" s="4" t="s">
        <v>14</v>
      </c>
      <c r="K28" s="4" t="s">
        <v>14</v>
      </c>
      <c r="L28" s="4">
        <v>21</v>
      </c>
    </row>
    <row r="29" spans="1:15">
      <c r="A29">
        <v>28</v>
      </c>
      <c r="B29" t="s">
        <v>51</v>
      </c>
      <c r="C29" s="1">
        <v>46160</v>
      </c>
      <c r="D29" t="s">
        <v>20</v>
      </c>
      <c r="E29" s="1">
        <v>46160</v>
      </c>
      <c r="F29" s="2">
        <v>0.375</v>
      </c>
      <c r="G29" s="2">
        <v>0.45041666666666669</v>
      </c>
      <c r="H29" s="2">
        <v>0.75</v>
      </c>
      <c r="I29" s="2">
        <v>0.73091435185185183</v>
      </c>
      <c r="J29">
        <v>9</v>
      </c>
      <c r="K29">
        <v>6.43</v>
      </c>
      <c r="L29">
        <v>21</v>
      </c>
      <c r="M29" s="2">
        <f t="shared" ref="M29:M31" si="15">G29-F29</f>
        <v>7.5416666666666687E-2</v>
      </c>
      <c r="N29" s="2">
        <f>H29-I29</f>
        <v>1.9085648148148171E-2</v>
      </c>
      <c r="O29" s="2">
        <f t="shared" ref="O29:O31" si="16">M29-N29</f>
        <v>5.6331018518518516E-2</v>
      </c>
    </row>
    <row r="30" spans="1:15">
      <c r="A30">
        <v>29</v>
      </c>
      <c r="B30" t="s">
        <v>51</v>
      </c>
      <c r="C30" s="1">
        <v>46161</v>
      </c>
      <c r="D30" t="s">
        <v>13</v>
      </c>
      <c r="E30" s="1">
        <v>46161</v>
      </c>
      <c r="F30" s="2">
        <v>0.375</v>
      </c>
      <c r="G30" s="2">
        <v>0.41468749999999999</v>
      </c>
      <c r="H30" s="2">
        <v>0.75</v>
      </c>
      <c r="I30" s="2">
        <v>0.78197916666666667</v>
      </c>
      <c r="J30">
        <v>9</v>
      </c>
      <c r="K30">
        <v>8.48</v>
      </c>
      <c r="L30">
        <v>21</v>
      </c>
      <c r="M30" s="2">
        <f t="shared" si="15"/>
        <v>3.9687499999999987E-2</v>
      </c>
      <c r="N30" s="2">
        <f t="shared" ref="N29:N31" si="17">I30-H30</f>
        <v>3.197916666666667E-2</v>
      </c>
      <c r="O30" s="2">
        <f t="shared" si="16"/>
        <v>7.7083333333333171E-3</v>
      </c>
    </row>
    <row r="31" spans="1:15">
      <c r="A31">
        <v>30</v>
      </c>
      <c r="B31" t="s">
        <v>51</v>
      </c>
      <c r="C31" s="1">
        <v>46162</v>
      </c>
      <c r="D31" t="s">
        <v>15</v>
      </c>
      <c r="E31" s="1">
        <v>46162</v>
      </c>
      <c r="F31" s="2">
        <v>0.375</v>
      </c>
      <c r="G31" s="2">
        <v>0.44549768518518518</v>
      </c>
      <c r="H31" s="2">
        <v>0.75</v>
      </c>
      <c r="I31" s="2">
        <v>0.76244212962962965</v>
      </c>
      <c r="J31">
        <v>9</v>
      </c>
      <c r="K31">
        <v>7.36</v>
      </c>
      <c r="L31">
        <v>21</v>
      </c>
      <c r="M31" s="2">
        <f t="shared" si="15"/>
        <v>7.0497685185185177E-2</v>
      </c>
      <c r="N31" s="2">
        <f t="shared" si="17"/>
        <v>1.244212962962965E-2</v>
      </c>
      <c r="O31" s="2">
        <f t="shared" si="16"/>
        <v>5.8055555555555527E-2</v>
      </c>
    </row>
    <row r="32" spans="1:15">
      <c r="C32" s="1"/>
      <c r="E32" s="1"/>
      <c r="F32" s="2"/>
      <c r="G32" s="2"/>
      <c r="H32" s="2"/>
      <c r="I32" s="2"/>
      <c r="L32" t="s">
        <v>32</v>
      </c>
      <c r="M32" s="39">
        <f>SUM(M3:M31)</f>
        <v>0.81997685185185187</v>
      </c>
      <c r="N32" s="18">
        <f>SUM(N3:N31)</f>
        <v>0.27603009259259259</v>
      </c>
    </row>
    <row r="33" spans="1:13">
      <c r="L33" t="s">
        <v>66</v>
      </c>
      <c r="M33" s="39">
        <f>M32-N32</f>
        <v>0.54394675925925928</v>
      </c>
    </row>
    <row r="34" spans="1:13">
      <c r="A34" s="53" t="s">
        <v>76</v>
      </c>
      <c r="L34" t="s">
        <v>64</v>
      </c>
      <c r="M34">
        <v>127.32</v>
      </c>
    </row>
    <row r="37" spans="1:13">
      <c r="C37" s="20" t="s">
        <v>34</v>
      </c>
      <c r="D37" s="21"/>
      <c r="E37" s="21"/>
      <c r="F37" s="21"/>
      <c r="G37" s="21"/>
      <c r="H37" s="21"/>
    </row>
    <row r="38" spans="1:13">
      <c r="C38" s="20" t="s">
        <v>35</v>
      </c>
      <c r="D38" s="20">
        <v>17</v>
      </c>
      <c r="E38" s="20">
        <v>18</v>
      </c>
      <c r="F38" s="20">
        <v>19</v>
      </c>
      <c r="G38" s="20">
        <v>20</v>
      </c>
      <c r="H38" s="20">
        <v>21</v>
      </c>
    </row>
    <row r="39" spans="1:13">
      <c r="C39" s="21" t="s">
        <v>36</v>
      </c>
      <c r="D39" s="21">
        <f>SUM(J2:J6)</f>
        <v>9</v>
      </c>
      <c r="E39" s="21">
        <f>SUM(J8:J13)</f>
        <v>41</v>
      </c>
      <c r="F39" s="21">
        <f>SUM(J15:J20)</f>
        <v>36</v>
      </c>
      <c r="G39" s="21">
        <f>SUM(J22:J27)</f>
        <v>32</v>
      </c>
      <c r="H39" s="21">
        <f>SUM(J29:J31)</f>
        <v>27</v>
      </c>
    </row>
    <row r="40" spans="1:13">
      <c r="C40" s="21" t="s">
        <v>37</v>
      </c>
      <c r="D40" s="21">
        <f>SUM(K2:K6)</f>
        <v>8.41</v>
      </c>
      <c r="E40" s="21">
        <f>SUM(K8:K13)</f>
        <v>37.25</v>
      </c>
      <c r="F40" s="21">
        <f>SUM(K15:K20)</f>
        <v>29.93</v>
      </c>
      <c r="G40" s="21">
        <f>SUM(K22:K27)</f>
        <v>29.06</v>
      </c>
      <c r="H40" s="21">
        <f>SUM(K29:K31)</f>
        <v>22.27</v>
      </c>
    </row>
    <row r="41" spans="1:13">
      <c r="C41" s="20"/>
      <c r="D41" s="20" t="s">
        <v>38</v>
      </c>
      <c r="E41" s="20" t="s">
        <v>39</v>
      </c>
      <c r="F41" s="20" t="s">
        <v>32</v>
      </c>
      <c r="G41" s="24"/>
      <c r="H41" s="24"/>
      <c r="J41" s="27"/>
      <c r="K41" s="24" t="s">
        <v>46</v>
      </c>
    </row>
    <row r="42" spans="1:13">
      <c r="C42" s="20" t="s">
        <v>40</v>
      </c>
      <c r="D42" s="21">
        <f>SUM(J2:J11)</f>
        <v>36</v>
      </c>
      <c r="E42" s="21">
        <f>SUM(J12:J31)</f>
        <v>109</v>
      </c>
      <c r="F42" s="21">
        <f>SUM(D42:E42)</f>
        <v>145</v>
      </c>
      <c r="G42" s="24"/>
      <c r="H42" s="24"/>
      <c r="J42" s="28"/>
      <c r="K42" s="24" t="s">
        <v>44</v>
      </c>
    </row>
    <row r="43" spans="1:13">
      <c r="C43" s="20" t="s">
        <v>41</v>
      </c>
      <c r="D43" s="21">
        <f>SUM(K2:K11)</f>
        <v>32.620000000000005</v>
      </c>
      <c r="E43" s="21">
        <f>SUM(K12:K31)</f>
        <v>94.300000000000011</v>
      </c>
      <c r="F43" s="21">
        <f>SUM(D43:E43)</f>
        <v>126.92000000000002</v>
      </c>
      <c r="G43" s="24"/>
      <c r="H43" s="24"/>
      <c r="J43" s="29"/>
      <c r="K43" s="24" t="s">
        <v>47</v>
      </c>
    </row>
    <row r="44" spans="1:13">
      <c r="C44" s="25"/>
      <c r="D44" s="24"/>
      <c r="E44" s="24"/>
      <c r="F44" s="24"/>
      <c r="G44" s="24"/>
      <c r="H44" s="24"/>
      <c r="J44" s="30"/>
      <c r="K44" s="24" t="s">
        <v>48</v>
      </c>
    </row>
    <row r="45" spans="1:13">
      <c r="C45" s="20" t="s">
        <v>42</v>
      </c>
      <c r="D45" s="20"/>
      <c r="E45" s="21">
        <v>30</v>
      </c>
      <c r="F45" s="24"/>
      <c r="G45" s="24"/>
      <c r="H45" s="24"/>
      <c r="J45" s="31"/>
      <c r="K45" s="24" t="s">
        <v>19</v>
      </c>
    </row>
    <row r="46" spans="1:13">
      <c r="C46" s="21" t="s">
        <v>43</v>
      </c>
      <c r="D46" s="21"/>
      <c r="E46" s="21">
        <v>26</v>
      </c>
      <c r="F46" s="24"/>
      <c r="G46" s="24"/>
      <c r="H46" s="24"/>
      <c r="J46" s="32"/>
      <c r="K46" s="24" t="s">
        <v>49</v>
      </c>
    </row>
    <row r="47" spans="1:13">
      <c r="C47" s="21" t="s">
        <v>44</v>
      </c>
      <c r="D47" s="21"/>
      <c r="E47" s="21">
        <v>4</v>
      </c>
      <c r="F47" s="24"/>
      <c r="G47" s="24"/>
      <c r="H47" s="24"/>
      <c r="J47" s="33"/>
      <c r="K47" s="24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selection activeCell="F16" sqref="F16"/>
    </sheetView>
  </sheetViews>
  <sheetFormatPr defaultRowHeight="15"/>
  <cols>
    <col min="2" max="2" width="17" customWidth="1"/>
    <col min="3" max="3" width="20" customWidth="1"/>
    <col min="7" max="7" width="49" customWidth="1"/>
  </cols>
  <sheetData>
    <row r="1" spans="1:7">
      <c r="A1" s="57" t="s">
        <v>1</v>
      </c>
      <c r="B1" s="57" t="s">
        <v>45</v>
      </c>
      <c r="C1" s="57" t="s">
        <v>67</v>
      </c>
      <c r="D1" s="57" t="s">
        <v>68</v>
      </c>
      <c r="E1" s="57" t="s">
        <v>69</v>
      </c>
      <c r="F1" s="57" t="s">
        <v>70</v>
      </c>
      <c r="G1" s="58" t="s">
        <v>71</v>
      </c>
    </row>
    <row r="2" spans="1:7">
      <c r="A2" s="21" t="s">
        <v>24</v>
      </c>
      <c r="B2" s="21">
        <v>206.07</v>
      </c>
      <c r="C2" s="26" t="s">
        <v>75</v>
      </c>
      <c r="D2" s="21">
        <v>30</v>
      </c>
      <c r="E2" s="21">
        <v>30</v>
      </c>
      <c r="F2" s="59">
        <v>0</v>
      </c>
      <c r="G2" s="22" t="s">
        <v>72</v>
      </c>
    </row>
    <row r="3" spans="1:7">
      <c r="A3" s="21" t="s">
        <v>28</v>
      </c>
      <c r="B3" s="21">
        <v>74.260000000000005</v>
      </c>
      <c r="C3" s="26" t="s">
        <v>77</v>
      </c>
      <c r="D3" s="21">
        <v>17</v>
      </c>
      <c r="E3" s="21">
        <v>25</v>
      </c>
      <c r="F3" s="59">
        <v>5</v>
      </c>
      <c r="G3" s="22" t="s">
        <v>72</v>
      </c>
    </row>
    <row r="4" spans="1:7">
      <c r="A4" s="21" t="s">
        <v>12</v>
      </c>
      <c r="B4" s="21">
        <v>156.30000000000001</v>
      </c>
      <c r="C4" s="26" t="s">
        <v>78</v>
      </c>
      <c r="D4" s="21">
        <v>30</v>
      </c>
      <c r="E4" s="21">
        <v>23</v>
      </c>
      <c r="F4" s="59">
        <v>7</v>
      </c>
      <c r="G4" s="22" t="s">
        <v>72</v>
      </c>
    </row>
    <row r="5" spans="1:7">
      <c r="A5" s="21" t="s">
        <v>23</v>
      </c>
      <c r="B5" s="21">
        <v>157.29</v>
      </c>
      <c r="C5" s="64" t="s">
        <v>80</v>
      </c>
      <c r="D5" s="21">
        <v>30</v>
      </c>
      <c r="E5" s="21">
        <v>27</v>
      </c>
      <c r="F5" s="59">
        <v>3</v>
      </c>
      <c r="G5" s="22" t="s">
        <v>79</v>
      </c>
    </row>
    <row r="6" spans="1:7">
      <c r="A6" s="21" t="s">
        <v>22</v>
      </c>
      <c r="B6" s="21">
        <v>161.13</v>
      </c>
      <c r="C6" s="26" t="s">
        <v>83</v>
      </c>
      <c r="D6" s="21">
        <v>30</v>
      </c>
      <c r="E6" s="21">
        <v>25</v>
      </c>
      <c r="F6" s="59">
        <v>5</v>
      </c>
      <c r="G6" s="26" t="s">
        <v>86</v>
      </c>
    </row>
    <row r="7" spans="1:7">
      <c r="A7" s="60" t="s">
        <v>73</v>
      </c>
      <c r="B7" s="61">
        <v>189.22</v>
      </c>
      <c r="C7" s="26" t="s">
        <v>81</v>
      </c>
      <c r="D7" s="22">
        <v>30</v>
      </c>
      <c r="E7" s="22">
        <v>27</v>
      </c>
      <c r="F7" s="62">
        <v>3</v>
      </c>
      <c r="G7" s="26" t="s">
        <v>87</v>
      </c>
    </row>
    <row r="8" spans="1:7">
      <c r="A8" s="63" t="s">
        <v>26</v>
      </c>
      <c r="B8" s="22">
        <v>130.41</v>
      </c>
      <c r="C8" s="26" t="s">
        <v>82</v>
      </c>
      <c r="D8" s="22">
        <v>30</v>
      </c>
      <c r="E8" s="22">
        <v>27</v>
      </c>
      <c r="F8" s="62">
        <v>3</v>
      </c>
      <c r="G8" s="22" t="s">
        <v>72</v>
      </c>
    </row>
    <row r="9" spans="1:7">
      <c r="A9" s="63" t="s">
        <v>27</v>
      </c>
      <c r="B9" s="22">
        <v>167.54</v>
      </c>
      <c r="C9" s="26" t="s">
        <v>84</v>
      </c>
      <c r="D9" s="22">
        <v>30</v>
      </c>
      <c r="E9" s="22">
        <v>21</v>
      </c>
      <c r="F9" s="62">
        <v>9</v>
      </c>
      <c r="G9" s="22" t="s">
        <v>72</v>
      </c>
    </row>
    <row r="10" spans="1:7">
      <c r="A10" s="63" t="s">
        <v>74</v>
      </c>
      <c r="B10" s="26">
        <v>127.32</v>
      </c>
      <c r="C10" s="26" t="s">
        <v>85</v>
      </c>
      <c r="D10" s="26">
        <v>30</v>
      </c>
      <c r="E10" s="26">
        <v>26</v>
      </c>
      <c r="F10" s="66">
        <v>4</v>
      </c>
      <c r="G10" s="22" t="s">
        <v>89</v>
      </c>
    </row>
    <row r="13" spans="1:7">
      <c r="A13" s="6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Bhanu</vt:lpstr>
      <vt:lpstr>Pinku</vt:lpstr>
      <vt:lpstr>Pranadeep</vt:lpstr>
      <vt:lpstr>Neha</vt:lpstr>
      <vt:lpstr>Badal</vt:lpstr>
      <vt:lpstr>Harshit</vt:lpstr>
      <vt:lpstr>Debojit</vt:lpstr>
      <vt:lpstr>Anurag</vt:lpstr>
      <vt:lpstr>Tolan</vt:lpstr>
      <vt:lpstr>Sarowar</vt:lpstr>
      <vt:lpstr>May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Pratap Maurya</dc:creator>
  <cp:lastModifiedBy>VaspTech</cp:lastModifiedBy>
  <dcterms:created xsi:type="dcterms:W3CDTF">2026-05-29T06:03:04Z</dcterms:created>
  <dcterms:modified xsi:type="dcterms:W3CDTF">2026-05-29T12:26:18Z</dcterms:modified>
</cp:coreProperties>
</file>